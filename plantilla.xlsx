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Majaguas\Desktop\"/>
    </mc:Choice>
  </mc:AlternateContent>
  <xr:revisionPtr revIDLastSave="0" documentId="13_ncr:1_{7EE449DD-6A91-4573-8302-397C5C89AC9A}" xr6:coauthVersionLast="47" xr6:coauthVersionMax="47" xr10:uidLastSave="{00000000-0000-0000-0000-000000000000}"/>
  <bookViews>
    <workbookView xWindow="-108" yWindow="-108" windowWidth="23256" windowHeight="12456" xr2:uid="{00000000-000D-0000-FFFF-FFFF00000000}"/>
  </bookViews>
  <sheets>
    <sheet name="Seguimiento MOD" sheetId="2" r:id="rId1"/>
  </sheets>
  <definedNames>
    <definedName name="_xlnm.Print_Area" localSheetId="0">'Seguimiento MOD'!$A:$R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7" i="2" l="1"/>
  <c r="U207" i="2"/>
  <c r="V206" i="2"/>
  <c r="U206" i="2"/>
  <c r="V205" i="2"/>
  <c r="U205" i="2"/>
  <c r="V204" i="2"/>
  <c r="U204" i="2"/>
  <c r="V203" i="2"/>
  <c r="U203" i="2"/>
  <c r="V202" i="2"/>
  <c r="U202" i="2"/>
  <c r="V201" i="2"/>
  <c r="U201" i="2"/>
  <c r="V200" i="2"/>
  <c r="U200" i="2"/>
  <c r="V199" i="2"/>
  <c r="U199" i="2"/>
  <c r="V198" i="2"/>
  <c r="U198" i="2"/>
  <c r="V197" i="2"/>
  <c r="U197" i="2"/>
  <c r="V196" i="2"/>
  <c r="U196" i="2"/>
  <c r="V195" i="2"/>
  <c r="U195" i="2"/>
  <c r="V194" i="2"/>
  <c r="U194" i="2"/>
  <c r="V193" i="2"/>
  <c r="U193" i="2"/>
  <c r="V192" i="2"/>
  <c r="U192" i="2"/>
  <c r="V191" i="2"/>
  <c r="U191" i="2"/>
  <c r="V190" i="2"/>
  <c r="U190" i="2"/>
  <c r="V189" i="2"/>
  <c r="U189" i="2"/>
  <c r="V188" i="2"/>
  <c r="U188" i="2"/>
  <c r="V187" i="2"/>
  <c r="U187" i="2"/>
  <c r="V186" i="2"/>
  <c r="U186" i="2"/>
  <c r="V185" i="2"/>
  <c r="U185" i="2"/>
  <c r="V184" i="2"/>
  <c r="U184" i="2"/>
  <c r="V183" i="2"/>
  <c r="U183" i="2"/>
  <c r="V182" i="2"/>
  <c r="U182" i="2"/>
  <c r="V181" i="2"/>
  <c r="U181" i="2"/>
  <c r="V180" i="2"/>
  <c r="U180" i="2"/>
  <c r="V179" i="2"/>
  <c r="U179" i="2"/>
  <c r="V178" i="2"/>
  <c r="U178" i="2"/>
  <c r="V177" i="2"/>
  <c r="U177" i="2"/>
  <c r="V176" i="2"/>
  <c r="U176" i="2"/>
  <c r="V175" i="2"/>
  <c r="U175" i="2"/>
  <c r="V174" i="2"/>
  <c r="U174" i="2"/>
  <c r="V173" i="2"/>
  <c r="U173" i="2"/>
  <c r="V172" i="2"/>
  <c r="U172" i="2"/>
  <c r="V171" i="2"/>
  <c r="U171" i="2"/>
  <c r="V170" i="2"/>
  <c r="U170" i="2"/>
  <c r="V169" i="2"/>
  <c r="U169" i="2"/>
  <c r="V168" i="2"/>
  <c r="U168" i="2"/>
  <c r="V167" i="2"/>
  <c r="U167" i="2"/>
  <c r="V166" i="2"/>
  <c r="U166" i="2"/>
  <c r="V165" i="2"/>
  <c r="U165" i="2"/>
  <c r="V164" i="2"/>
  <c r="U164" i="2"/>
  <c r="V163" i="2"/>
  <c r="U163" i="2"/>
  <c r="V162" i="2"/>
  <c r="U162" i="2"/>
  <c r="V161" i="2"/>
  <c r="U161" i="2"/>
  <c r="V160" i="2"/>
  <c r="U160" i="2"/>
  <c r="V159" i="2"/>
  <c r="U159" i="2"/>
  <c r="V158" i="2"/>
  <c r="U158" i="2"/>
  <c r="V157" i="2"/>
  <c r="U157" i="2"/>
  <c r="V156" i="2"/>
  <c r="U156" i="2"/>
  <c r="V155" i="2"/>
  <c r="U155" i="2"/>
  <c r="V154" i="2"/>
  <c r="U154" i="2"/>
  <c r="V153" i="2"/>
  <c r="U153" i="2"/>
  <c r="V152" i="2"/>
  <c r="U152" i="2"/>
  <c r="V151" i="2"/>
  <c r="U151" i="2"/>
  <c r="V150" i="2"/>
  <c r="U150" i="2"/>
  <c r="V149" i="2"/>
  <c r="U149" i="2"/>
  <c r="V148" i="2"/>
  <c r="U148" i="2"/>
  <c r="V147" i="2"/>
  <c r="U147" i="2"/>
  <c r="V146" i="2"/>
  <c r="U146" i="2"/>
  <c r="V145" i="2"/>
  <c r="U145" i="2"/>
  <c r="V144" i="2"/>
  <c r="U144" i="2"/>
  <c r="V143" i="2"/>
  <c r="U143" i="2"/>
  <c r="V142" i="2"/>
  <c r="U142" i="2"/>
  <c r="V141" i="2"/>
  <c r="U141" i="2"/>
  <c r="V140" i="2"/>
  <c r="U140" i="2"/>
  <c r="V139" i="2"/>
  <c r="U139" i="2"/>
  <c r="V138" i="2"/>
  <c r="U138" i="2"/>
  <c r="V137" i="2"/>
  <c r="U137" i="2"/>
  <c r="V136" i="2"/>
  <c r="U136" i="2"/>
  <c r="V135" i="2"/>
  <c r="U135" i="2"/>
  <c r="V134" i="2"/>
  <c r="U134" i="2"/>
  <c r="V133" i="2"/>
  <c r="U133" i="2"/>
  <c r="V132" i="2"/>
  <c r="U132" i="2"/>
  <c r="V131" i="2"/>
  <c r="U131" i="2"/>
  <c r="V130" i="2"/>
  <c r="U130" i="2"/>
  <c r="V129" i="2"/>
  <c r="U129" i="2"/>
  <c r="V128" i="2"/>
  <c r="U128" i="2"/>
  <c r="V127" i="2"/>
  <c r="U127" i="2"/>
  <c r="V126" i="2"/>
  <c r="U126" i="2"/>
  <c r="V125" i="2"/>
  <c r="U125" i="2"/>
  <c r="V124" i="2"/>
  <c r="U124" i="2"/>
  <c r="V123" i="2"/>
  <c r="U123" i="2"/>
  <c r="V122" i="2"/>
  <c r="U122" i="2"/>
  <c r="V121" i="2"/>
  <c r="U121" i="2"/>
  <c r="V120" i="2"/>
  <c r="U120" i="2"/>
  <c r="V119" i="2"/>
  <c r="U119" i="2"/>
  <c r="V118" i="2"/>
  <c r="U118" i="2"/>
  <c r="V117" i="2"/>
  <c r="U117" i="2"/>
  <c r="V116" i="2"/>
  <c r="U116" i="2"/>
  <c r="V115" i="2"/>
  <c r="U115" i="2"/>
  <c r="V114" i="2"/>
  <c r="U114" i="2"/>
  <c r="V113" i="2"/>
  <c r="U113" i="2"/>
  <c r="V112" i="2"/>
  <c r="U112" i="2"/>
  <c r="V111" i="2"/>
  <c r="U111" i="2"/>
  <c r="V110" i="2"/>
  <c r="U110" i="2"/>
  <c r="V109" i="2"/>
  <c r="U109" i="2"/>
  <c r="V108" i="2"/>
  <c r="U108" i="2"/>
  <c r="V107" i="2"/>
  <c r="U107" i="2"/>
  <c r="V106" i="2"/>
  <c r="U106" i="2"/>
  <c r="V105" i="2"/>
  <c r="U105" i="2"/>
  <c r="V104" i="2"/>
  <c r="U104" i="2"/>
  <c r="V103" i="2"/>
  <c r="U103" i="2"/>
  <c r="V102" i="2"/>
  <c r="U102" i="2"/>
  <c r="V101" i="2"/>
  <c r="U101" i="2"/>
  <c r="V100" i="2"/>
  <c r="U100" i="2"/>
  <c r="V99" i="2"/>
  <c r="U99" i="2"/>
  <c r="V98" i="2"/>
  <c r="U98" i="2"/>
  <c r="V97" i="2"/>
  <c r="U97" i="2"/>
  <c r="V96" i="2"/>
  <c r="U96" i="2"/>
  <c r="V95" i="2"/>
  <c r="U95" i="2"/>
  <c r="V94" i="2"/>
  <c r="U94" i="2"/>
  <c r="V93" i="2"/>
  <c r="U93" i="2"/>
  <c r="V92" i="2"/>
  <c r="U92" i="2"/>
  <c r="V91" i="2"/>
  <c r="U91" i="2"/>
  <c r="V90" i="2"/>
  <c r="U90" i="2"/>
  <c r="V89" i="2"/>
  <c r="U89" i="2"/>
  <c r="V88" i="2"/>
  <c r="U88" i="2"/>
  <c r="V87" i="2"/>
  <c r="U87" i="2"/>
  <c r="V86" i="2"/>
  <c r="U86" i="2"/>
  <c r="V85" i="2"/>
  <c r="U85" i="2"/>
  <c r="V84" i="2"/>
  <c r="U84" i="2"/>
  <c r="V83" i="2"/>
  <c r="U83" i="2"/>
  <c r="V82" i="2"/>
  <c r="U82" i="2"/>
  <c r="V81" i="2"/>
  <c r="U81" i="2"/>
  <c r="V80" i="2"/>
  <c r="U80" i="2"/>
  <c r="V79" i="2"/>
  <c r="U79" i="2"/>
  <c r="V78" i="2"/>
  <c r="U78" i="2"/>
  <c r="V77" i="2"/>
  <c r="U77" i="2"/>
  <c r="V76" i="2"/>
  <c r="U76" i="2"/>
  <c r="V75" i="2"/>
  <c r="U75" i="2"/>
  <c r="V74" i="2"/>
  <c r="U74" i="2"/>
  <c r="V73" i="2"/>
  <c r="U73" i="2"/>
  <c r="V72" i="2"/>
  <c r="U72" i="2"/>
  <c r="V71" i="2"/>
  <c r="U71" i="2"/>
  <c r="V70" i="2"/>
  <c r="U70" i="2"/>
  <c r="V69" i="2"/>
  <c r="U69" i="2"/>
  <c r="V68" i="2"/>
  <c r="U68" i="2"/>
  <c r="V67" i="2"/>
  <c r="U67" i="2"/>
  <c r="V66" i="2"/>
  <c r="U66" i="2"/>
  <c r="V65" i="2"/>
  <c r="U65" i="2"/>
  <c r="V64" i="2"/>
  <c r="U64" i="2"/>
  <c r="V63" i="2"/>
  <c r="U63" i="2"/>
  <c r="V62" i="2"/>
  <c r="U62" i="2"/>
  <c r="V61" i="2"/>
  <c r="U61" i="2"/>
  <c r="V60" i="2"/>
  <c r="U60" i="2"/>
  <c r="V59" i="2"/>
  <c r="U59" i="2"/>
  <c r="V58" i="2"/>
  <c r="U58" i="2"/>
  <c r="V57" i="2"/>
  <c r="U57" i="2"/>
  <c r="V56" i="2"/>
  <c r="U56" i="2"/>
  <c r="V55" i="2"/>
  <c r="U55" i="2"/>
  <c r="V54" i="2"/>
  <c r="U54" i="2"/>
  <c r="V53" i="2"/>
  <c r="U53" i="2"/>
  <c r="V52" i="2"/>
  <c r="U52" i="2"/>
  <c r="V51" i="2"/>
  <c r="U51" i="2"/>
  <c r="V50" i="2"/>
  <c r="U50" i="2"/>
  <c r="V49" i="2"/>
  <c r="U49" i="2"/>
  <c r="V48" i="2"/>
  <c r="U48" i="2"/>
  <c r="V47" i="2"/>
  <c r="U47" i="2"/>
  <c r="V46" i="2"/>
  <c r="U46" i="2"/>
  <c r="V45" i="2"/>
  <c r="U45" i="2"/>
  <c r="V44" i="2"/>
  <c r="U44" i="2"/>
  <c r="V43" i="2"/>
  <c r="U43" i="2"/>
  <c r="V42" i="2"/>
  <c r="U42" i="2"/>
  <c r="V41" i="2"/>
  <c r="U41" i="2"/>
  <c r="V40" i="2"/>
  <c r="U40" i="2"/>
  <c r="V39" i="2"/>
  <c r="U39" i="2"/>
  <c r="V38" i="2"/>
  <c r="U38" i="2"/>
  <c r="V37" i="2"/>
  <c r="U37" i="2"/>
  <c r="V36" i="2"/>
  <c r="U36" i="2"/>
  <c r="V35" i="2"/>
  <c r="U35" i="2"/>
  <c r="V34" i="2"/>
  <c r="U34" i="2"/>
  <c r="V33" i="2"/>
  <c r="U33" i="2"/>
  <c r="V32" i="2"/>
  <c r="U32" i="2"/>
  <c r="V31" i="2"/>
  <c r="U31" i="2"/>
  <c r="V30" i="2"/>
  <c r="U30" i="2"/>
  <c r="V29" i="2"/>
  <c r="U29" i="2"/>
  <c r="V28" i="2"/>
  <c r="U28" i="2"/>
  <c r="V27" i="2"/>
  <c r="U27" i="2"/>
  <c r="V26" i="2"/>
  <c r="U26" i="2"/>
  <c r="V25" i="2"/>
  <c r="U25" i="2"/>
  <c r="V24" i="2"/>
  <c r="U24" i="2"/>
  <c r="V23" i="2"/>
  <c r="U23" i="2"/>
  <c r="V22" i="2"/>
  <c r="U22" i="2"/>
  <c r="V21" i="2"/>
  <c r="U21" i="2"/>
  <c r="V20" i="2"/>
  <c r="U20" i="2"/>
  <c r="V19" i="2"/>
  <c r="U19" i="2"/>
  <c r="V18" i="2"/>
  <c r="U18" i="2"/>
  <c r="V17" i="2"/>
  <c r="U17" i="2"/>
  <c r="V16" i="2"/>
  <c r="U16" i="2"/>
  <c r="V15" i="2"/>
  <c r="U15" i="2"/>
  <c r="V14" i="2"/>
  <c r="U14" i="2"/>
  <c r="V13" i="2"/>
  <c r="U13" i="2"/>
  <c r="V12" i="2"/>
  <c r="U12" i="2"/>
  <c r="V11" i="2"/>
  <c r="U11" i="2"/>
  <c r="V10" i="2"/>
  <c r="U10" i="2"/>
  <c r="V9" i="2"/>
  <c r="U9" i="2"/>
  <c r="V8" i="2"/>
  <c r="U8" i="2"/>
  <c r="V7" i="2"/>
  <c r="U7" i="2"/>
  <c r="V6" i="2"/>
  <c r="U6" i="2"/>
  <c r="V5" i="2"/>
  <c r="U5" i="2"/>
  <c r="V4" i="2"/>
  <c r="U4" i="2"/>
  <c r="V3" i="2"/>
  <c r="U3" i="2"/>
  <c r="V2" i="2"/>
  <c r="U2" i="2"/>
</calcChain>
</file>

<file path=xl/sharedStrings.xml><?xml version="1.0" encoding="utf-8"?>
<sst xmlns="http://schemas.openxmlformats.org/spreadsheetml/2006/main" count="2151" uniqueCount="600">
  <si>
    <t>DEPARTAMENTO</t>
  </si>
  <si>
    <t>AREA_ORIGEN</t>
  </si>
  <si>
    <t>TIPO_ACTIVIDAD</t>
  </si>
  <si>
    <t>ESTATUS</t>
  </si>
  <si>
    <t>HORARIO_TRABAJO</t>
  </si>
  <si>
    <t>CAUSA_RETRASO</t>
  </si>
  <si>
    <t>AUTOMATIZACION Y CONTROL</t>
  </si>
  <si>
    <t>ALMACEN DE AZUCAR</t>
  </si>
  <si>
    <t>CORRECTIVO</t>
  </si>
  <si>
    <t>PENDIENTE</t>
  </si>
  <si>
    <t>DIA</t>
  </si>
  <si>
    <t>ELECTRICIDAD</t>
  </si>
  <si>
    <t>CALDERAS</t>
  </si>
  <si>
    <t>EN EJECUCION</t>
  </si>
  <si>
    <t>FALTA DE MATERIALES</t>
  </si>
  <si>
    <t>ENVASE</t>
  </si>
  <si>
    <t>CASABOMBAS</t>
  </si>
  <si>
    <t>LIMPIEZA</t>
  </si>
  <si>
    <t>DETENIDO</t>
  </si>
  <si>
    <t>FALTA DE PERSONAL</t>
  </si>
  <si>
    <t>FABRICACION</t>
  </si>
  <si>
    <t>CENTRIFUGAS</t>
  </si>
  <si>
    <t>FINALIZADO</t>
  </si>
  <si>
    <t>GENERACION DE VAPOR</t>
  </si>
  <si>
    <t>PREDICTIVO</t>
  </si>
  <si>
    <t>OTRO</t>
  </si>
  <si>
    <t>MANTENIMIENTO BASADO EN CONDICION</t>
  </si>
  <si>
    <t>EVAPORACION</t>
  </si>
  <si>
    <t>PREVENTIVO</t>
  </si>
  <si>
    <t>MANTENIMIENTO MECANICO</t>
  </si>
  <si>
    <t>FABRICA</t>
  </si>
  <si>
    <t>MONTAJE Y SOLDADURA</t>
  </si>
  <si>
    <t>PREPARACION Y MOLIENDA</t>
  </si>
  <si>
    <t>MOLINOS</t>
  </si>
  <si>
    <t>PATIO DE CAÑA</t>
  </si>
  <si>
    <t>TALLER INDUSTRIAL</t>
  </si>
  <si>
    <t>PLANTA ELECTRICA</t>
  </si>
  <si>
    <t>OTRAS</t>
  </si>
  <si>
    <t>ID_TAREA</t>
  </si>
  <si>
    <t>TAG_EQUIPO</t>
  </si>
  <si>
    <t>DESCRIPCION</t>
  </si>
  <si>
    <t>CUADRILLA</t>
  </si>
  <si>
    <t>HH_PLANIFICADAS</t>
  </si>
  <si>
    <t>FECHA_INICIO_PLAN</t>
  </si>
  <si>
    <t>FECHA_FIN_PLAN</t>
  </si>
  <si>
    <t>AVANCE_REAL</t>
  </si>
  <si>
    <t>JORNADA_EFECTIVA</t>
  </si>
  <si>
    <t>MATERIALES_REQUERIDOS</t>
  </si>
  <si>
    <t>EQUIPOS_USADOS</t>
  </si>
  <si>
    <t>OBSERVACIONES</t>
  </si>
  <si>
    <t>PC-001</t>
  </si>
  <si>
    <t>CONDUCTOR AUXILIAR</t>
  </si>
  <si>
    <t>LIMPIEZA DESARME Y ORGANIZACION DE TABLILLAS Y RUEDAS</t>
  </si>
  <si>
    <t>AGUA CEPILLO DE BARRER MAGUERA BOTADOR MARTILLO</t>
  </si>
  <si>
    <t/>
  </si>
  <si>
    <t>SE HAN DESMONTADO Y REALIZADO MTTO A 200 TABLILLAS</t>
  </si>
  <si>
    <t>M-001</t>
  </si>
  <si>
    <t>MOLINO 1</t>
  </si>
  <si>
    <t>DESARME DE PUENTES Y MANTENIMIENTO DE EXCENTRICAS</t>
  </si>
  <si>
    <t>GRUA PUENTE MOLINOS GASOIL LIJA 220 HERRAMIENTAS GENERAL AGUA ANTICORROCIVO GRASA</t>
  </si>
  <si>
    <t>M-002</t>
  </si>
  <si>
    <t>MOLINO 2</t>
  </si>
  <si>
    <t>M-003</t>
  </si>
  <si>
    <t>MOLINO 3</t>
  </si>
  <si>
    <t>M-004</t>
  </si>
  <si>
    <t>MOLINO 4</t>
  </si>
  <si>
    <t>SE CULMINARA MAÑANA, UNA VEZ ESTE SECO EL FONDO ANTICORROSIVO APLICADO</t>
  </si>
  <si>
    <t>M-005</t>
  </si>
  <si>
    <t>MOLINO 5</t>
  </si>
  <si>
    <t>EL MOLINO N°5 QUEDARA EN 80% DEBIDO A QUE LAS EXCENTRICAS ESTAN EN TALLER INDUSTRIAL PARA MECANIZARLAS.</t>
  </si>
  <si>
    <t>E-001</t>
  </si>
  <si>
    <t>LIMPIEZA DEL AREA FRONTAL Y LATERAL DE ENVASE</t>
  </si>
  <si>
    <t>MANGUERA AGUA CEPILLO ALAMBRE CEPILLO DE BARRER</t>
  </si>
  <si>
    <t>E-002</t>
  </si>
  <si>
    <t>SECADOR 2</t>
  </si>
  <si>
    <t>LIMPIEZA Y RECOLECCION DE AZUCAR ADHERIDA EN LA NORIA AZUCAR SECA</t>
  </si>
  <si>
    <t xml:space="preserve">ESPATULA SACOS REUSABLES MECATE </t>
  </si>
  <si>
    <t>E-003</t>
  </si>
  <si>
    <t>LIMPIEZA Y MANTENIMIENTO DE LA TUBERIA POLVILLO 2</t>
  </si>
  <si>
    <t>HIDROJECT AGUA MANGUERA</t>
  </si>
  <si>
    <t>HIDROJECT</t>
  </si>
  <si>
    <t>F-001</t>
  </si>
  <si>
    <t>MELADOR A</t>
  </si>
  <si>
    <t>LIMPIEZA MECANICA</t>
  </si>
  <si>
    <t>BOMBA HIDROCINETICA</t>
  </si>
  <si>
    <t>BOMBA DEFECTUOSA FALTA DE SELLO</t>
  </si>
  <si>
    <t>F-002</t>
  </si>
  <si>
    <t>CLARIFICADORA DE MELADURA</t>
  </si>
  <si>
    <t>DESTAPE Y LIMPIEZA</t>
  </si>
  <si>
    <t>SE REEMPLAZO SELLOS, FABRICADOS EN EL TALLER</t>
  </si>
  <si>
    <t>F-003</t>
  </si>
  <si>
    <t>PRE C</t>
  </si>
  <si>
    <t>F-004</t>
  </si>
  <si>
    <t>CLARIFICACION JUGO</t>
  </si>
  <si>
    <t>DESTAPE Y LIMPIEZA DEL CICLON</t>
  </si>
  <si>
    <t>BOMBA DEFECTUOSA FALTA DE SELLO CONTINUA LA PROXIMA SEMANA</t>
  </si>
  <si>
    <t>F-005</t>
  </si>
  <si>
    <t>CAJA 1C</t>
  </si>
  <si>
    <t>F-006</t>
  </si>
  <si>
    <t>PISCINA DE ENFRIAMIENTO</t>
  </si>
  <si>
    <t>RECUPERACION PISTEROS ENFRIADERO</t>
  </si>
  <si>
    <t>GV-001</t>
  </si>
  <si>
    <t>CALDERA 5</t>
  </si>
  <si>
    <t>DESMONTAJE DE VALVULAS DE LA PINHOLE</t>
  </si>
  <si>
    <t>HERRAMIENTAS COMBINADAS</t>
  </si>
  <si>
    <t>GV-002</t>
  </si>
  <si>
    <t>CALDERA 6</t>
  </si>
  <si>
    <t xml:space="preserve">DESMONTAJE DE LAS TAPAS  Y MANTENIMIENTO AL COLECTOR FRONTAL COLECTORES SUPERIOR DE 8"  Y 10" </t>
  </si>
  <si>
    <t>6 HORAS</t>
  </si>
  <si>
    <t>CALENTAMIENTO DE TORNILLERIA</t>
  </si>
  <si>
    <t>GV-003</t>
  </si>
  <si>
    <t xml:space="preserve">CALDERA 6 </t>
  </si>
  <si>
    <t xml:space="preserve">DESMONTAJE VALVULAS DE SEGURIDAD </t>
  </si>
  <si>
    <t>4 HORAS</t>
  </si>
  <si>
    <t>GV-004</t>
  </si>
  <si>
    <t>DESMONTAJE Y MANTENIMIENTO COLECTOR LATERALES</t>
  </si>
  <si>
    <t>GV-005</t>
  </si>
  <si>
    <t xml:space="preserve"> DESMONTAJE DE VALVULAS GENERALES  CALDERA 6</t>
  </si>
  <si>
    <t>GV-006</t>
  </si>
  <si>
    <t xml:space="preserve">DESMONTAJE DE VALVULAS PURGAS FONDO </t>
  </si>
  <si>
    <t>3 HORAS</t>
  </si>
  <si>
    <t>GV-007</t>
  </si>
  <si>
    <t>DESMONTAJE   PLACA DE ORIFICIO VAPOR AGUA</t>
  </si>
  <si>
    <t>GV-008</t>
  </si>
  <si>
    <t xml:space="preserve">DESMONTAJE VALVULAS DE LA PINHOL </t>
  </si>
  <si>
    <t>NO SE DESMONTARAN PORQUE ESTAN SOLDADAS, SE REALIZARA MTTO EN EL SITIO</t>
  </si>
  <si>
    <t>GV-009</t>
  </si>
  <si>
    <t>CALDERA 1</t>
  </si>
  <si>
    <t>DESARME   DOMO SUPERIOR</t>
  </si>
  <si>
    <t>EL PERSONAL SE OCUPO EN INDUCCION DE EMPAQUETADURAS DE VALVULAS CON LA EMPRESA MAMUSA</t>
  </si>
  <si>
    <t>GV-010</t>
  </si>
  <si>
    <t xml:space="preserve">MANTENIMIENTO COLECTORES LATERALES INFERIORES Y FRONTAL INFERIOR </t>
  </si>
  <si>
    <t>GV-011</t>
  </si>
  <si>
    <t>DESMONTAJE Y MANTENIMIENTO  DE TAPA  DEL COLECTOR POSTERIOR DE 6"</t>
  </si>
  <si>
    <t>GV-012</t>
  </si>
  <si>
    <t xml:space="preserve">CONTINUAR CON EL DESARME  DOMO SUPERIOR </t>
  </si>
  <si>
    <t>GV-013</t>
  </si>
  <si>
    <t>CALDERA 2</t>
  </si>
  <si>
    <t xml:space="preserve">DESARME DOMO SUPERIOR </t>
  </si>
  <si>
    <t>GV-014</t>
  </si>
  <si>
    <t xml:space="preserve">CONTINUAR CON EL DESMONTAJE  VALVULAS GENERALES </t>
  </si>
  <si>
    <t>GV-015</t>
  </si>
  <si>
    <t>CASA BOMBA</t>
  </si>
  <si>
    <t xml:space="preserve">DESMONTAJE  PLACA DE ORIFICIO  </t>
  </si>
  <si>
    <t>GV-016</t>
  </si>
  <si>
    <t xml:space="preserve">CONTINUAR CON EL DESARME DOMO SUPERIOR </t>
  </si>
  <si>
    <t>GV-017</t>
  </si>
  <si>
    <t>DESAIREADOR</t>
  </si>
  <si>
    <t>DESTAPAR DESAREADOR</t>
  </si>
  <si>
    <t>GV-018</t>
  </si>
  <si>
    <t>MANTENIMIENTO AL AREA CALDERAS</t>
  </si>
  <si>
    <t xml:space="preserve">CEPILLO MANGUERA PALA AGUA </t>
  </si>
  <si>
    <t>MM-001.1</t>
  </si>
  <si>
    <t>REDUCTOR MOLINO 1</t>
  </si>
  <si>
    <t>DESMONTAJE DE PIÑÓN DE ALTA REDUCTOR MOLINO 1</t>
  </si>
  <si>
    <t>MM-001.2</t>
  </si>
  <si>
    <t>DESMONTAJE DE PIÑÓN DE BAJA REDUCTOR MOLINO 1</t>
  </si>
  <si>
    <t>MM-001.3</t>
  </si>
  <si>
    <t>DESMONTAJE DE PIÑÓN DEL CROCHET REDUCTOR MOLINO 1</t>
  </si>
  <si>
    <t>MM-001.4</t>
  </si>
  <si>
    <t>DESMONTAJE DE COJINETES REDUCTOR MOLINO 1</t>
  </si>
  <si>
    <t>MM-001.5</t>
  </si>
  <si>
    <t>DESMONTAJE DE MANGUERAS DE AIRE REDUCTOR MOLINO 1</t>
  </si>
  <si>
    <t>MM-001.6</t>
  </si>
  <si>
    <t>DESARME DE LOS CROCHET REDUCTOR MOLINO 1</t>
  </si>
  <si>
    <t>MM-001.7</t>
  </si>
  <si>
    <t>MEDICIONES GENERALES DE COJINETES, RODAMIENTOS Y MUÑONES REDUCTOR MOLINO 1</t>
  </si>
  <si>
    <t>MM-002.1</t>
  </si>
  <si>
    <t>REDUCTOR MOLINO 2</t>
  </si>
  <si>
    <t>DESMONTAJE DE PIÑÓN DE ALTA REDUCTOR MOLINO 2</t>
  </si>
  <si>
    <t>MM-002.2</t>
  </si>
  <si>
    <t>DESMONTAJE DE PIÑÓN DE BAJA REDUCTOR MOLINO 2</t>
  </si>
  <si>
    <t>MM-002.3</t>
  </si>
  <si>
    <t>DESMONTAJE DE PIÑÓN DEL CROCHET REDUCTOR MOLINO 2</t>
  </si>
  <si>
    <t>MM-002.4</t>
  </si>
  <si>
    <t>DESMONTAJE DE COJINETES REDUCTOR MOLINO 2</t>
  </si>
  <si>
    <t>MM-002.5</t>
  </si>
  <si>
    <t>DESMONTAJE DE MANGUERAS DE AIRE REDUCTOR MOLINO 2</t>
  </si>
  <si>
    <t>MM-002.6</t>
  </si>
  <si>
    <t>DESARME DE LOS CROCHET REDUCTOR MOLINO 2</t>
  </si>
  <si>
    <t>MM-002.7</t>
  </si>
  <si>
    <t>MEDICIONES GENERALES DE COJINETES, RODAMIENTOS Y MUÑONES REDUCTOR MOLINO 2</t>
  </si>
  <si>
    <t>MM-003.1</t>
  </si>
  <si>
    <t>REDUCTOR MOLINO 03</t>
  </si>
  <si>
    <t>DESMONTAJE DE PIÑÓN DE ALTA REDUCTOR MOLINO 3</t>
  </si>
  <si>
    <t>MM-003.2</t>
  </si>
  <si>
    <t>DESMONTAJE DE PIÑÓN DE BAJA REDUCTOR MOLINO 3</t>
  </si>
  <si>
    <t>MM-003.3</t>
  </si>
  <si>
    <t>DESMONTAJE DE PIÑÓN DEL CROCHET REDUCTOR MOLINO 3</t>
  </si>
  <si>
    <t>MM-003.4</t>
  </si>
  <si>
    <t>DESMONTAJE DE COJINETES REDUCTOR MOLINO 3</t>
  </si>
  <si>
    <t>MM-003.5</t>
  </si>
  <si>
    <t>DESMONTAJE DE MANGUERAS DE AIRE REDUCTOR MOLINO 3</t>
  </si>
  <si>
    <t>MM-003.6</t>
  </si>
  <si>
    <t>DESARME DE LOS CROCHET REDUCTOR MOLINO 3</t>
  </si>
  <si>
    <t>MM-003.7</t>
  </si>
  <si>
    <t>MEDICIONES GENERALES DE COJINETES, RODAMIENTOS Y MUÑONES REDUCTOR MOLINO 3</t>
  </si>
  <si>
    <t>MM-004.1</t>
  </si>
  <si>
    <t>REDUCTOR MOLINO 01</t>
  </si>
  <si>
    <t>DRENAJE DE TANQUES, RESERVORIO DE ACEITE REDUCTOR MOLINO 1</t>
  </si>
  <si>
    <t>MM-004.2</t>
  </si>
  <si>
    <t>REDUCTOR MOLINO 02</t>
  </si>
  <si>
    <t>DRENAJE DE TANQUES, RESERVORIO DE ACEITE REDUCTOR MOLINO 2</t>
  </si>
  <si>
    <t>MM-004.3</t>
  </si>
  <si>
    <t>DRENAJE DE TANQUES, RESERVORIO DE ACEITE REDUCTOR MOLINO 3</t>
  </si>
  <si>
    <t>TI-001.1</t>
  </si>
  <si>
    <t>TRANSPORTADOR SINFIN 2DA #02</t>
  </si>
  <si>
    <t>RECUPERACION DE PUNTA DE EJE TS 2DA #02</t>
  </si>
  <si>
    <t>TI-001.2</t>
  </si>
  <si>
    <t>RECUPERACION DE AGUJEROS 3/4" PUNTA TS 2DA #02</t>
  </si>
  <si>
    <t>TI-002.1</t>
  </si>
  <si>
    <t>TRANSPORTADOR SINFIN 3ERA#01</t>
  </si>
  <si>
    <t>FABRICACION DE ESPIRAL TS 3ERA # 01</t>
  </si>
  <si>
    <t>MS-001.1</t>
  </si>
  <si>
    <t>TANQUE DE IMBIBICION 1</t>
  </si>
  <si>
    <t>TANQUE DE IMBIBICION (MONTAJE Y SOLDADURA DE CUERPO CILINDRICO)</t>
  </si>
  <si>
    <t>ELECTRODOS 6010 18", ELECTRODOS 718 1/8", DISCO DE CORTE 7" Y 4", DISCO DE ESMERIL 7" Y 4", CEPILLO DE ALAMBRE</t>
  </si>
  <si>
    <t>MAQ SOLDAR, OXICORTE, ESMERIL 7" Y 4"</t>
  </si>
  <si>
    <t xml:space="preserve">SE REQUIERE DISCO DE CORTE EXTRAFINO 4", TIZA PARA HERRERIA, DISCO DE DESBASTE 4", CEPILLO DE ALAMBRE </t>
  </si>
  <si>
    <t>MS-001.2</t>
  </si>
  <si>
    <t>TANQUE DE IMBIBICION ( FABRICACION DE SERPENTIN)</t>
  </si>
  <si>
    <t>MS-002</t>
  </si>
  <si>
    <t>DONELLY 4</t>
  </si>
  <si>
    <t>FABRICACION DE DONELLY ( FABRICACION DE PATIN DE LAS TABLILLAS) DONELLY 4</t>
  </si>
  <si>
    <t>MS-003</t>
  </si>
  <si>
    <t xml:space="preserve">TANQUE DE MACERACION </t>
  </si>
  <si>
    <t>FABRICACION DE BASE TANQUE DE MACERACION</t>
  </si>
  <si>
    <t>PERSONAL EN TANQUE DE IMBIBICION</t>
  </si>
  <si>
    <t>MS-004</t>
  </si>
  <si>
    <t>MASAS DE MOLINOS</t>
  </si>
  <si>
    <t>CORTE DE TRANQUES CORONA DE LAS MASAS MOLINOS</t>
  </si>
  <si>
    <t>FALTA DE PERSONAL PARA MOVER LAS MAZAS Y ASI TENER CONDICIONES PARA REALIZAR EL TRABAJO</t>
  </si>
  <si>
    <t>MS-005</t>
  </si>
  <si>
    <t>APOYO A MTTO MECANICO FABRICA</t>
  </si>
  <si>
    <t>MS-006</t>
  </si>
  <si>
    <t>APOYO A MTTO MECANICO CALDERA</t>
  </si>
  <si>
    <t>MBC-001.1</t>
  </si>
  <si>
    <t>PRE EVAPORADOR A</t>
  </si>
  <si>
    <t>END UT PRE EVAPORADOR A</t>
  </si>
  <si>
    <t>GEL PARA ULTRA SONIDO
DISCO DE DESBASTE DE 4 1/2"
CUADERNO
LAPIZ
TIZA DE HERRERIA</t>
  </si>
  <si>
    <t xml:space="preserve">MEDIDOR DE ESPESORES KRAUTKRAMER
MEDIDOR DE ESPESORES UNIT
ESMERIL INALAMBRICO
</t>
  </si>
  <si>
    <t>MBC-001.2</t>
  </si>
  <si>
    <t>REDACCION DE INFORME END UT PRE EVAPORADOR A</t>
  </si>
  <si>
    <t>LAPTOP</t>
  </si>
  <si>
    <t>MBC-002.1</t>
  </si>
  <si>
    <t>END UT CUPULA DEL MELADOR A</t>
  </si>
  <si>
    <t>MBC-002.2</t>
  </si>
  <si>
    <t>REDACCION DE INFORME DEL END UT CUPULA DEL MELADOR A</t>
  </si>
  <si>
    <t>MBC-003.1</t>
  </si>
  <si>
    <t>CONDENSADOR A</t>
  </si>
  <si>
    <t>END UT DEL CONDENSADOR A</t>
  </si>
  <si>
    <t>MBC-003.2</t>
  </si>
  <si>
    <t>REDACCION DE INFORME END UT DEL CONDENSADOR A</t>
  </si>
  <si>
    <t>MBC-004.1</t>
  </si>
  <si>
    <t>CONDUCTRO INCLINADO</t>
  </si>
  <si>
    <t>END UT DEL PISO DEL CONDUCTOR INCLINADO</t>
  </si>
  <si>
    <t>MEDIDOR DE ESPESORES KRAUTKRAMER
MEDIDOR DE ESPESORES UNIT
ESMERIL INALAMBRICO
ARNES Y ESLINGA</t>
  </si>
  <si>
    <t>MBC-004.2</t>
  </si>
  <si>
    <t>REDACCION DE INFORME END UT DEL PISO DEL CONDUCTOR INCLINADO</t>
  </si>
  <si>
    <t>MBC-005.1</t>
  </si>
  <si>
    <t>TURBO BOMBA #1</t>
  </si>
  <si>
    <t>END PT A COJINETES DE LA TURBINA DE LA TURBO BOMBA #1</t>
  </si>
  <si>
    <t xml:space="preserve">KIT DE TINTES PENETRANTES
TINNER
TRAPOS ESTERILIZADOS 
</t>
  </si>
  <si>
    <t>CALIBRADOR</t>
  </si>
  <si>
    <t>MBC-005.2</t>
  </si>
  <si>
    <t>REDACCION DE INFORME END PT A COJINETES DE LA TURBINA DE LA TURBO BOMBA #1</t>
  </si>
  <si>
    <t>MBC-006.1</t>
  </si>
  <si>
    <t>MOLINO #2</t>
  </si>
  <si>
    <t>END PT A COJINETES DE LA TURBINA DEL MOLINO #2</t>
  </si>
  <si>
    <t>MBC-006.2</t>
  </si>
  <si>
    <t>REDACCION DE INFORME END PT A COJINETES DE LA TURBINA DEL MOLINO #2</t>
  </si>
  <si>
    <t>MBC-007.1</t>
  </si>
  <si>
    <t>MOLINO #3</t>
  </si>
  <si>
    <t>END PT A COJINETES DE LA TURBINA DEL MOLINO #3</t>
  </si>
  <si>
    <t>MBC-007.2</t>
  </si>
  <si>
    <t>REDACCION DE INFORME END PT A COJINETES DE LA TURBINA DEL MOLINO #3</t>
  </si>
  <si>
    <t>MBC-008.1</t>
  </si>
  <si>
    <t>MOLINO #4</t>
  </si>
  <si>
    <t>END PT A COJINETES DE LA TURBINA DEL MOLINO #4</t>
  </si>
  <si>
    <t>MBC-008.2</t>
  </si>
  <si>
    <t>REDACCION DE INFORME END PT A COJINETES DE LA TURBINA DEL MOLINO #4</t>
  </si>
  <si>
    <t>MBC-009.1</t>
  </si>
  <si>
    <t>TURBO BOMBA #2</t>
  </si>
  <si>
    <t>END PT A COJINETES DE LA TURBINA DE LA TURBO BOMBA #2</t>
  </si>
  <si>
    <t>MBC-009.2</t>
  </si>
  <si>
    <t>REDACCION DE INFORME END PT A COJINETES DE LA TURBINA DE LA TURBO BOMBA #2</t>
  </si>
  <si>
    <t>MBC-010.1</t>
  </si>
  <si>
    <t>TURBO BOMBA #3</t>
  </si>
  <si>
    <t>END PT A COJINETES DE LA TURBINA DE LA TURBO BOMBA #3</t>
  </si>
  <si>
    <t>MBC-010.2</t>
  </si>
  <si>
    <t>REDACCION DE INFORME END PT A COJINETES DE LA TURBINA DE LA TURBO BOMBA #3</t>
  </si>
  <si>
    <t>MBC-011.1</t>
  </si>
  <si>
    <t>BOMBA DE INYECCION #1</t>
  </si>
  <si>
    <t>END PT A COJINETES DE LA TURBINA DE LA BOMBA DE INYECCION #1</t>
  </si>
  <si>
    <t>MBC-011.2</t>
  </si>
  <si>
    <t>REDACCION DE INFORME END PT A COJINETES DE LA TURBINA DE LA BOMBA DE INYECCION #1</t>
  </si>
  <si>
    <t>MBC-012.1</t>
  </si>
  <si>
    <t>BOMBA DE INYECCION #2</t>
  </si>
  <si>
    <t>END PT A COJINETES DE LA TURBINA DE LA BOMBA DE INYECCION #2</t>
  </si>
  <si>
    <t>MBC-012.2</t>
  </si>
  <si>
    <t>REDACCION DE INFORME END PT A COJINETES DE LA TURBINA DE LA BOMBA DE INYECCION #2</t>
  </si>
  <si>
    <t>MBC-013.1</t>
  </si>
  <si>
    <t>TURBO GENERADOR #1</t>
  </si>
  <si>
    <t>END PT A COJINETES DE LA TURBINA DEL TURBO GENERADOR #1</t>
  </si>
  <si>
    <t>MBC-013.2</t>
  </si>
  <si>
    <t>REDACCION DE INFORME END PT A COJINETES DE LA TURBINA DEL TURBO GENERADOR #1</t>
  </si>
  <si>
    <t>MBC-014.1</t>
  </si>
  <si>
    <t>TURBO GENERADOR #2</t>
  </si>
  <si>
    <t>END PT A COJINETES DE LA TURBINA DEL TURBO GENERADOR #2</t>
  </si>
  <si>
    <t>MBC-014.2</t>
  </si>
  <si>
    <t>REDACCION DE INFORME END PT A COJINETES DE LA TURBINA DEL TURBO GENERADOR #2</t>
  </si>
  <si>
    <t>MBC-015</t>
  </si>
  <si>
    <t>TANQUE DE IMBIBICION</t>
  </si>
  <si>
    <t>END PT A SOLDADURAS DEL TANQUE DE IMBIBICION</t>
  </si>
  <si>
    <t>SE AVANZA CONFORME EK DEPARTAMENTO DE MONTAJE Y SODADURA ENTREGUE SOLDURAS LIMPIAS PARA LA VALIDADCION</t>
  </si>
  <si>
    <t>MBC-016</t>
  </si>
  <si>
    <t>CALDERA</t>
  </si>
  <si>
    <t>CALDERA #3</t>
  </si>
  <si>
    <t>MBC-017.1</t>
  </si>
  <si>
    <t>BALON DE CONDENSADO #3</t>
  </si>
  <si>
    <t>END UT AL BALON DE CONDENSADO #3</t>
  </si>
  <si>
    <t>ACTIVIDAD NO PLANIFICADA POR EL DEPARTAMENTO SOLICITADA EN CARACTER DE URGENCIA POR LA SUPERINTENDENCIA DE INDUSTRIA.
ACTIVIDAD ADICIONAL</t>
  </si>
  <si>
    <t>MBC-017.2</t>
  </si>
  <si>
    <t>INFORME DEL END UT AL BALON DE CONDENSADO #3</t>
  </si>
  <si>
    <t>ACTIVIDAD ADICIONAL</t>
  </si>
  <si>
    <t>MBC-018.1</t>
  </si>
  <si>
    <t>BALON DE CONDENSADO #4</t>
  </si>
  <si>
    <t>END UT AL BALON DE CONDENSADO #4</t>
  </si>
  <si>
    <t>MBC-018.2</t>
  </si>
  <si>
    <t>INFORME DEL END UT AL BALON DE CONDENSADO #4</t>
  </si>
  <si>
    <t>MM-005.1</t>
  </si>
  <si>
    <t>CENTRIFUGA 3ERA #03</t>
  </si>
  <si>
    <t>DESMONTAJE DE MANGUERA Y PISTEROS CENTRIFUGA 3ERA #03</t>
  </si>
  <si>
    <t>MM-005.2</t>
  </si>
  <si>
    <t>DESMONTAJE DE TAPA CENTRIFUGA 3ERA #03</t>
  </si>
  <si>
    <t>MM-005.3</t>
  </si>
  <si>
    <t>DESMONTAJE DE PRENSA TELA  CENTRIFUGA 3ERA #03</t>
  </si>
  <si>
    <t>MM-005.4</t>
  </si>
  <si>
    <t>DESMONTAJE DE TELA Y RESGFUARDO CENTRIFUGA 3ERA #03</t>
  </si>
  <si>
    <t>MM-005.5</t>
  </si>
  <si>
    <t>DESMONTAJE DE DISTRIBUIDOR DE MASA CENTRIFUGA 3ERA #03</t>
  </si>
  <si>
    <t>MM-005.6</t>
  </si>
  <si>
    <t>DESMONTAJE DE CANASTO CENTRIFUGA 3ERA #03</t>
  </si>
  <si>
    <t>MM-005.7</t>
  </si>
  <si>
    <t>DESMONTAJE DE SEPARADOR DE MIEL CENTRIFUGA 3ERA #03</t>
  </si>
  <si>
    <t>MM-005.8</t>
  </si>
  <si>
    <t>DESMONTAJE DE UNIDAD MOTRIZ CENTRIFUGA 3ERA #03</t>
  </si>
  <si>
    <t>MM-005.9</t>
  </si>
  <si>
    <t>CHEQUEO DE SISTEMA DE AMORTIGUACION CENTRIFUGA 3ERA #03</t>
  </si>
  <si>
    <t>MM-005.10</t>
  </si>
  <si>
    <t>EVALUACION DE PARTES Y PIEZAS PARA FABRICACION CENTRIFUGA 3ERA #03</t>
  </si>
  <si>
    <t>REEMPLAZAR ACOPLE RAPTOR E40, REEMPLAZA TUERCAS DE SEGURIDAD DE 33MM (3 PIEZA)</t>
  </si>
  <si>
    <t>MM-006.1</t>
  </si>
  <si>
    <t>CENTRIFUGA 3ERA #04</t>
  </si>
  <si>
    <t>DESMONTAJE DE MANGUERA Y PISTEROS CENTRIFUGA 3ERA #04</t>
  </si>
  <si>
    <t>MM-006.2</t>
  </si>
  <si>
    <t>DESMONTAJE DE TAPA CENTRIFUGA 3ERA #04</t>
  </si>
  <si>
    <t>MM-006.3</t>
  </si>
  <si>
    <t>DESMONTAJE DE PRENSA TELA  CENTRIFUGA 3ERA #04</t>
  </si>
  <si>
    <t>MM-006.4</t>
  </si>
  <si>
    <t>DESMONTAJE DE TELA Y RESGFUARDO CENTRIFUGA 3ERA #04</t>
  </si>
  <si>
    <t>MM-006.5</t>
  </si>
  <si>
    <t>DESMONTAJE DE DISTRIBUIDOR DE MASA CENTRIFUGA 3ERA #04</t>
  </si>
  <si>
    <t>MM-006.6</t>
  </si>
  <si>
    <t>DESMONTAJE DE CANASTO CENTRIFUGA 3ERA #04</t>
  </si>
  <si>
    <t>MM-006.7</t>
  </si>
  <si>
    <t>DESMONTAJE DE SEPARADOR DE MIEL CENTRIFUGA 3ERA #04</t>
  </si>
  <si>
    <t>MM-006.8</t>
  </si>
  <si>
    <t>DESMONTAJE DE UNIDAD MOTRIZ CENTRIFUGA 3ERA #04</t>
  </si>
  <si>
    <t>MM-006.9</t>
  </si>
  <si>
    <t>CHEQUEO DE SISTEMA DE AMORTIGUACION CENTRIFUGA 3ERA #04</t>
  </si>
  <si>
    <t>MM-006.10</t>
  </si>
  <si>
    <t>EVALUACION DE PARTES Y PIEZAS PARA FABRICACION CENTRIFUGA 3ERA #04</t>
  </si>
  <si>
    <t>MM-007.7</t>
  </si>
  <si>
    <t>TRANSPORTADOR SINFIN AZUCAR SECA #01</t>
  </si>
  <si>
    <t>EXTRACCION DE HELICOIDES TRANSPORTADOR SINFIN AZUCAR SECA #01</t>
  </si>
  <si>
    <t>MM-007.8</t>
  </si>
  <si>
    <t>EXTRACCION DE BASE DE IMAN  TRANSPORTADOR SINFIN AZUCAR SECA #01</t>
  </si>
  <si>
    <t>MM-007.9</t>
  </si>
  <si>
    <t>EXTRACCION DE BASE DE DESCARGA TRANSPORTADOR SINFIN AZUCAR SECA #01</t>
  </si>
  <si>
    <t>MM-007.10</t>
  </si>
  <si>
    <t>DESARME DE CANOA  TRANSPORTADOR SINFIN AZUCAR SECA #01</t>
  </si>
  <si>
    <t>MM-007.11</t>
  </si>
  <si>
    <t>DESMONTAJE DE CANOA Y HELICOIDES  A PISO TRANSPORTADOR SINFIN AZUCAR SECA #01</t>
  </si>
  <si>
    <t>MM-007.12</t>
  </si>
  <si>
    <t>EXTRACCIO DE PUNTAS DE EJES TRANSPORTADOR SINFIN AZUCAR SECA #01</t>
  </si>
  <si>
    <t>MM-007.13</t>
  </si>
  <si>
    <t>EVALUACION DE PARTES Y PIEZAS PARA FABRICACION TRANSPORTADOR SINFIN AZUCAR SECA #01</t>
  </si>
  <si>
    <t>MM-007.14</t>
  </si>
  <si>
    <t>TRASLADO DE COMPONENTES A TALLER INDUSTRIAL TRANSPORTADOR SINFIN AZUCAR SECA #01</t>
  </si>
  <si>
    <t>MM-008.1</t>
  </si>
  <si>
    <t>CINTA HIGIENICA DE AZUCAR SECA 01</t>
  </si>
  <si>
    <t>DESMONTAJE DE RODILLOS SUPERIORES CINTA HIGIENICA DE AZUCAR SECA 01</t>
  </si>
  <si>
    <t>PERSONAL EN EJECUCION DE ACTIVIDADES EN RECEPTOR DE MASA DE 3ERA</t>
  </si>
  <si>
    <t>MM-008.2</t>
  </si>
  <si>
    <t>DESMONTAJE DE RODILLO DE RETORNO  CINTA HIGIENICA DE AZUCAR SECA 01</t>
  </si>
  <si>
    <t>MM-008.3</t>
  </si>
  <si>
    <t>DESMONTAJE DE RODILLO DE MANDO Y COLA CINTA HIGIENICA DE AZUCAR SECA 01</t>
  </si>
  <si>
    <t>MM-008.4</t>
  </si>
  <si>
    <t>DESMONTAJE DE CHUMACERAS CINTA HIGIENICA DE AZUCAR SECA 01</t>
  </si>
  <si>
    <t>MM-008.5</t>
  </si>
  <si>
    <t>LIMPIEZA DE RODILLOS  CINTA HIGIENICA DE AZUCAR SECA 01</t>
  </si>
  <si>
    <t>MM-008.6</t>
  </si>
  <si>
    <t>LUBRICACION DE RODILLOS  CINTA HIGIENICA DE AZUCAR SECA 01</t>
  </si>
  <si>
    <t>MM-008.7</t>
  </si>
  <si>
    <t>EVALUACION DE RODILLOS  CINTA HIGIENICA DE AZUCAR SECA 01</t>
  </si>
  <si>
    <t>MM-009.1</t>
  </si>
  <si>
    <t>TRANSPORTADOR SINFIN DE TERRONES 01</t>
  </si>
  <si>
    <t>DESMONTAJE DE REDUCTOR TRANSPORTADOR SINFIN DE TERRONES 01</t>
  </si>
  <si>
    <t>MM-009.2</t>
  </si>
  <si>
    <t>EXTRACCION DE PIÑONES TRANSPORTADOR SINFIN DE TERRONES 01</t>
  </si>
  <si>
    <t>MM-009.3</t>
  </si>
  <si>
    <t>EXTRACCION DE COLGANTES Y CHUMACERAS TRANSPORTADOR SINFIN DE TERRONES 01</t>
  </si>
  <si>
    <t>MM-009.4</t>
  </si>
  <si>
    <t>EXTRACCION DE TAPAS LATERALES TRANSPORTADOR SINFIN DE TERRONES 01</t>
  </si>
  <si>
    <t>MM-009.5</t>
  </si>
  <si>
    <t>EXTRACCION DE TORNILLOS PASADORES TRANSPORTADOR SINFIN DE TERRONES 01</t>
  </si>
  <si>
    <t>MM-009.6</t>
  </si>
  <si>
    <t>EXTRACCION DE HELICOIDES TRANSPORTADOR SINFIN DE TERRONES 01</t>
  </si>
  <si>
    <t>MM-009.7</t>
  </si>
  <si>
    <t>EXTRACCION DE PUNTAS DE EJES TRANSPORTADOR SINFIN DE TERRONES 01</t>
  </si>
  <si>
    <t>MM-009.8</t>
  </si>
  <si>
    <t>DESMONTAJE DE CANOAS TRANSPORTADOR SINFIN DE TERRONES 01</t>
  </si>
  <si>
    <t>MM-010.1</t>
  </si>
  <si>
    <t xml:space="preserve">
VENTILADOR DE POLVILLO #02</t>
  </si>
  <si>
    <t>DESMONTAJE DE ENRE DOS DE SUCCION Y DESCARGA  
VENTILADOR DE POLVILLO #02</t>
  </si>
  <si>
    <t>MM-010.2</t>
  </si>
  <si>
    <t>DESMONTAJE DE CHUMACERAS 
VENTILADOR DE POLVILLO #02</t>
  </si>
  <si>
    <t>MM-010.3</t>
  </si>
  <si>
    <t>DESMONTAJE DE ROTOR 
VENTILADOR DE POLVILLO #02</t>
  </si>
  <si>
    <t>EL-001</t>
  </si>
  <si>
    <t>MOTORES</t>
  </si>
  <si>
    <t xml:space="preserve"> DESCONEXION DE MOTORES DE FABRICA MOTORES</t>
  </si>
  <si>
    <t>TEIPE 33, TEIPE COBRA, TEIPE DE COLORES</t>
  </si>
  <si>
    <t>ALICATE, DESTONILLADORES, PINZA AMPERIMETRICA, JUEGO DE DADOS Y LLAVES COMBINADAS</t>
  </si>
  <si>
    <t>Actividad en proceso. Motores en servicio para la operatividad de la factoria, por tal razon no se ha culminado (aire comprimido,suministro de melaza,traslado de equipos y limpieza en los tachos)</t>
  </si>
  <si>
    <t>EL-002</t>
  </si>
  <si>
    <t xml:space="preserve"> DESCONEXION DE MOTORES DE CALDERAS MOTORES</t>
  </si>
  <si>
    <t>Actividad en proceso. Motores en servicio para la operatividad de la factoria, por tal razon no se ha culminado (realizando pruebas suministro de gasoil y achique)</t>
  </si>
  <si>
    <t>EL-003</t>
  </si>
  <si>
    <t xml:space="preserve"> DESCONEXION DE MOTORES DE CASA BOMBA MOTORES</t>
  </si>
  <si>
    <t>Actividad en proceso. Motores en servicio para la operatividad de la factoria, por tal razon no se ha culminado (suministro de agua de toda la factoria)</t>
  </si>
  <si>
    <t>EL-004</t>
  </si>
  <si>
    <t xml:space="preserve"> DESCONEXION DE MOTORES DE PATIO DE CAÑA MOTORES</t>
  </si>
  <si>
    <t>Actividad en proceso. Motores en servicio para la operatividad de la factoria, por tal razon no se ha culminado (realizando limpieza y achique)</t>
  </si>
  <si>
    <t>EL-005</t>
  </si>
  <si>
    <t xml:space="preserve"> DESCONEXION DE MOTORES DE MOLINO MOTORES</t>
  </si>
  <si>
    <t>Actividad en proceso. Motores en servicio para la operatividad de la factoria, por tal razon no se ha culminado (realizando moviento de grua puente de molino y achique)</t>
  </si>
  <si>
    <t>EL-006</t>
  </si>
  <si>
    <t>DESCONEXION DE MOTORES DE CENTRIFUGAS MOTORES</t>
  </si>
  <si>
    <t>Actividad en proceso. Motores en servicio para la operatividad de la factoria, por tal razon no se ha culminado (operativos para realizar pruebas)</t>
  </si>
  <si>
    <t>EL-007</t>
  </si>
  <si>
    <t>DESCONEXION DE MOTORES DE PLANTA ELECTRICA MOTORES</t>
  </si>
  <si>
    <t>Actividad en proceso. Motores en servicio para la operatividad de la factoria, por tal razon no se ha culminado (motores operativos realizando pruebas, grua puente,ventiladores y achique)</t>
  </si>
  <si>
    <t>EL-008</t>
  </si>
  <si>
    <t xml:space="preserve"> DESCONEXION DE MOTORES DE ALMACEN DE AZUCAR MOTORES</t>
  </si>
  <si>
    <t>Actividad en proceso. Motores en servicio para la operatividad de la factoria, por tal razon no se ha culminado (motortores operativos transportadores de sacos para el despacho de azucar)</t>
  </si>
  <si>
    <t>EL-009</t>
  </si>
  <si>
    <t>TABLEROS</t>
  </si>
  <si>
    <t>PROTEGER TABLEROS DE CONTROL Y CDP TABLEROS</t>
  </si>
  <si>
    <t>Actividad  en proceso debido a que se esta realizando la proteccion de equipos de acuerdo al mantenimiento y al plan de limpieza-lavado de otros departamentos</t>
  </si>
  <si>
    <t>EL-010.1</t>
  </si>
  <si>
    <t>MANTENIMIENTO A CONTROLES ELECTRICOS CASA BOMBA TABLEROS</t>
  </si>
  <si>
    <t>LIJA, DIELECTRICO, BARNIZ, TRAPOS, JABON, DESENGRASANTE</t>
  </si>
  <si>
    <t>SE AVANZA EN EL MANTENIMIENTO DE DISYUNTOR RECHAZO 1 Y SE REALIZAN CONEXIONES EN EL EN EL CONTROL DE VACIO</t>
  </si>
  <si>
    <t>MANTENIMIENTO A CONTROLES ELECTRICOS CASA BOMBA TABLEROS (CARRITO)</t>
  </si>
  <si>
    <t>SE CONTINUA CON EL MANTENIMIENTO DEL CARRITO DEL DISYUNTOR DE RECHAZO 1</t>
  </si>
  <si>
    <t>EL-011</t>
  </si>
  <si>
    <t>MAQUINAS DE SOLDAR/EXTENSIONES/ALUMBRADO</t>
  </si>
  <si>
    <t>ATENCION AL RADIO (EVENTUALIDADES) MAQUINAS DE SOLDAR/EXTENSIONES/ALUMBRADO</t>
  </si>
  <si>
    <t>ATENCION A TODOS LOS LLAMADOS. SE REALIZA CHEQUEO DE RADIADOR DE DIESEL 2, PRESENTA FUGA DE REFRIGERANTE</t>
  </si>
  <si>
    <t>EL-012</t>
  </si>
  <si>
    <t>MANTEMIENTO A CONTROLES  LICOR FILTRADO 1 TABLEROS</t>
  </si>
  <si>
    <t>SE REALIZO MANTENIMIENTO A SUS COMPONENTE ELECTRICOS, CONTACTOR, TERMICO, ENTRE OTROS</t>
  </si>
  <si>
    <t>EL-013</t>
  </si>
  <si>
    <t>MANTEMIENTO A CONTROLES  LICOR FILTRADO 2 TABLEROS</t>
  </si>
  <si>
    <t>EL-014</t>
  </si>
  <si>
    <t>MANTEMIENTO  A CONTROLES ENCALADO 1 TABLEROS</t>
  </si>
  <si>
    <t>1. SE REALIZA CAMBIO DE RAMPLUS DE LA BASE DE LA CONSOLA DEL AIRE ACONDICIONADO DE ALCABALA.                                                                  2.SE DESMONTA BASE DEL MOTOR VENTILADOR DEL AIRE ACONDICIONADO DE SAL DE CONFERENCIA DE PRODUCCION.                                                      3.SE DESMONTA AIRE ACONDICIONADO DE DESPACHO PARA REALIZAR MANTENIMIENTO PREVENTIVO. (SE CORRRIGE FUGA EN EL EVAPORADOR).</t>
  </si>
  <si>
    <t>EL-015</t>
  </si>
  <si>
    <t>MANTEMIENTO  A CONTROLES ENCALADO 2 TABLEROS</t>
  </si>
  <si>
    <t>EL-016</t>
  </si>
  <si>
    <t>MANTEMIENTO  A CONTROLES SULFITADO 1 (PRECALENTADO)  TABLEROS</t>
  </si>
  <si>
    <t>EL-017</t>
  </si>
  <si>
    <t>MANTEMIENTO  A CONTROLES SULFITADO 2  (PRECALENTADO)  TABLEROS</t>
  </si>
  <si>
    <t>EL-018</t>
  </si>
  <si>
    <t>MANTEMIENTO  A CONTROLES MELADURA CRUDA 1, 2, 3, 4, 5 Y 6 TABLEROS</t>
  </si>
  <si>
    <t>EL-019</t>
  </si>
  <si>
    <t>AIRES ACONDICIONADOS/FILTROS DE AGUA</t>
  </si>
  <si>
    <t>MANTENIMIENTO  A AIRES ACONDICIONADOS DE NO PROCESO AIRES ACONDICIONADOS/FILTROS DE AGUA</t>
  </si>
  <si>
    <t>GAS R410, GAS 22, VARILLAS DE PLATA 5%</t>
  </si>
  <si>
    <t>ALICATE, DESTONILLADORES, PINZA AMPERIMETRICA, JUEGO DE DADOS Y LLAVES COMBINADAS, MANOMETROS Y CAPACIMETRO.</t>
  </si>
  <si>
    <t>AC-001</t>
  </si>
  <si>
    <t>MOLINO_01</t>
  </si>
  <si>
    <t>MANTENIMIENTO DE PRESURE SWITCH, MANOMETROS, CILINDRO, SOLENOIDE DEL MOLINO #01</t>
  </si>
  <si>
    <t>TRAPOS, LAPICERO, MARCADOR, TIRRO, CINTA DE EMBALAR, PLASTICO, JABON, DESENGRASANTE.</t>
  </si>
  <si>
    <t>TESTER, TALADRO, PULIDORA, ESMERIL</t>
  </si>
  <si>
    <t>AC-002.1</t>
  </si>
  <si>
    <t>ESTACION REDUCTORA DE VAPOR</t>
  </si>
  <si>
    <t>MANTENIMIENTO A VALVULAS AUTOMATICA DE TEMPERATURA DE LA ESTACION REDUCTORA</t>
  </si>
  <si>
    <t>TALADRO, PULIDORA, ESMERIL</t>
  </si>
  <si>
    <t>AC-002.2</t>
  </si>
  <si>
    <t xml:space="preserve">MANTENIMIENTO, INSPECCION, CHEQUEO Y CALIBRACION A RED LION Y SMART DE ERV </t>
  </si>
  <si>
    <t>AC-003</t>
  </si>
  <si>
    <t>MOLINO_02</t>
  </si>
  <si>
    <t>MANTENIMIENTO DE PRESURE SWITCH, MANOMETROS, CILINDRO, SOLENOIDE DEL MOLINO #02</t>
  </si>
  <si>
    <t>AC-004</t>
  </si>
  <si>
    <t>TG_01</t>
  </si>
  <si>
    <t>MANTENIMIENTO, INSPECCION Y CHEQUEO DE LOS TRANSMISORES, PRESURE SWITCH, MANOMETROS DE TURBOGENERADOR</t>
  </si>
  <si>
    <t>AC-005</t>
  </si>
  <si>
    <t>CALDERA_01</t>
  </si>
  <si>
    <t>MANTENIMIENTO, INSPECCION, CHEQUEO Y CALIBRACION DE LOS ACTUADORES, CONVERTIDORES I/P Y POSICIONADORES DE DAMPERS</t>
  </si>
  <si>
    <t>AC-006</t>
  </si>
  <si>
    <t>PICADORA</t>
  </si>
  <si>
    <t>MANTENIMIENTO, INSPECCION, CHEQUEO Y CALIBRACION DE LOS INSTRUMENTOS Y EQUIPOS</t>
  </si>
  <si>
    <t>AC-007</t>
  </si>
  <si>
    <t>DESFIBRADORA</t>
  </si>
  <si>
    <t>MANTENIMIENTO DE PRESURE SWITCH, MANOMETROS, CILINDRO, SOLENOIDE DE DESFIBRADORA</t>
  </si>
  <si>
    <t>AC-008</t>
  </si>
  <si>
    <t>EVAP_01</t>
  </si>
  <si>
    <t>MANTENIMIENTO, INSPECCION, CHEQUEO Y CALIBRACION DE LOS ACTUADORES, CONVERTIDORES I/P Y POSICIONADORES DE EVAPORACION TREN A</t>
  </si>
  <si>
    <t>MM-011.1</t>
  </si>
  <si>
    <t>MOTOBOMBA 1</t>
  </si>
  <si>
    <t>DESMONTAJE DE TUBERIA DE SUCCION Y DESCARGA, CHECK MOTOBOMBA 1</t>
  </si>
  <si>
    <t>MM-011.2</t>
  </si>
  <si>
    <t>DESACOPLADO DEL EQUIPO MOTOBOMBA 1</t>
  </si>
  <si>
    <t>MM-011.3</t>
  </si>
  <si>
    <t>DESMONTAJE DE BOMBA DE LA BASE MOTOBOMBA 1</t>
  </si>
  <si>
    <t>MM-011.4</t>
  </si>
  <si>
    <t>IZADO Y TRASLADO A TALLER INDUSTRIAL MOTOBOMBA 1</t>
  </si>
  <si>
    <t>MM-011.5</t>
  </si>
  <si>
    <t>DESMONTAJE DE MOTOR ELECTRICO DE LA BASE MOTOBOMBA 1</t>
  </si>
  <si>
    <t>MM-011.6</t>
  </si>
  <si>
    <t>IZAJE Y TRASLADO DE MOTOR A TALLER DE REBOBINADO MOTOBOMBA 1</t>
  </si>
  <si>
    <t>MM-011.7</t>
  </si>
  <si>
    <t>INSPECCION VISUAL DE PARTES Y COMPONENTES MOTOBOMBA 1</t>
  </si>
  <si>
    <t>MM-011.8</t>
  </si>
  <si>
    <t>LIMPIEZA DE AREA DE LAS ZONA DE TURBO BOMBA.</t>
  </si>
  <si>
    <t>AGUA, TRAPOS, CEPILLOS</t>
  </si>
  <si>
    <t>N/A</t>
  </si>
  <si>
    <t>MM-012.1</t>
  </si>
  <si>
    <t>MM-012.2</t>
  </si>
  <si>
    <t>TURBOBOMBA 1</t>
  </si>
  <si>
    <t>DESACOPLADO DEL EQUIPO TURBOBOMBA 1</t>
  </si>
  <si>
    <t>MM-012.3</t>
  </si>
  <si>
    <t>DESMONTAJE DE BOMBA DE LA BASE TURBOBOMBA 1</t>
  </si>
  <si>
    <t>MM-012.4</t>
  </si>
  <si>
    <t>IZADO Y TRASLADO A TALLER INDUSTRIAL TURBOBOMBA 1</t>
  </si>
  <si>
    <t>MM-013.1</t>
  </si>
  <si>
    <t>TURBOBOMBA 2</t>
  </si>
  <si>
    <t>DESMONTAJE DE TUBERIA DE SUCCION Y DESCARGA, CHECK TURBOBOMBA 2</t>
  </si>
  <si>
    <t>MM-013.2</t>
  </si>
  <si>
    <t>DESACOPLADO DEL EQUIPO TURBOBOMBA 2</t>
  </si>
  <si>
    <t>MM-013.3</t>
  </si>
  <si>
    <t>DESMONTAJE DE BOMBA DE LA BASE TURBOBOMBA 2</t>
  </si>
  <si>
    <t>MM-013.4</t>
  </si>
  <si>
    <t>IZADO Y TRASLADO A TALLER INDUSTRIAL TURBOBOMBA 2</t>
  </si>
  <si>
    <t>MM-014.1</t>
  </si>
  <si>
    <t>CINTA DE BAGAZO PRINCIPAL</t>
  </si>
  <si>
    <t>DESMONTAJE DE CHUMACERA  Y RODILLO CONTRA PESA CINTA DE BAGAZO PRINCIPAL</t>
  </si>
  <si>
    <t>MM-014.2</t>
  </si>
  <si>
    <t>DESMOTAJE DE CHUMACERAS, RODILLOS MANDO Y COLA CINTA DE BAGAZO PRINCIPAL</t>
  </si>
  <si>
    <t>MM-014.3</t>
  </si>
  <si>
    <t>DESMONTAJES DE RODILLOS LOCOS O CENTRALES CINTA DE BAGAZO PRINCIPAL</t>
  </si>
  <si>
    <t>MM-014.4</t>
  </si>
  <si>
    <t>DESMONTAJE DE RODILLO DE LA TOLVA CINTA DE BAGAZO PRINCIPAL</t>
  </si>
  <si>
    <t>MM-014.5</t>
  </si>
  <si>
    <t>INSPECCION VISUAL DE RODILLOS Y ESTRUCTURA CINTA DE BAGAZO PRINCIPAL</t>
  </si>
  <si>
    <t>MM-014.6</t>
  </si>
  <si>
    <t>TRASLADO A TALLER INDUSTRIAL CINTA DE BAGAZO PRINCIPAL</t>
  </si>
  <si>
    <t>MM-015.1</t>
  </si>
  <si>
    <t>CONDUCTOR PLANO</t>
  </si>
  <si>
    <t>LIMPIEZA DE SUPERFICIE DE EJES PARA LA PREPARACION DE PRUEBAS DE PT</t>
  </si>
  <si>
    <t>TRAPOS, PLIEGO DE LIJA 80, FORMULA MERCANICA, GRASA INDUSTRIAL, ENVOPLAST</t>
  </si>
  <si>
    <t>MM-015.2</t>
  </si>
  <si>
    <t>BOMBAS WUARMAN</t>
  </si>
  <si>
    <t>LIMPIEZA DE ZONA DE LAS BOMBAS WUARMAN</t>
  </si>
  <si>
    <t>TI-003</t>
  </si>
  <si>
    <t>FRESADORA</t>
  </si>
  <si>
    <t>FABRTICACION DE DIENTE PARA ENGRANAJE DE FRESADORA</t>
  </si>
  <si>
    <t>LAMINA A36 1/4", ELECTRODO 7818 1/8"</t>
  </si>
  <si>
    <t xml:space="preserve">OXICORTE, MQUINA DE SOLDAR </t>
  </si>
  <si>
    <t>TI-004</t>
  </si>
  <si>
    <t>BBA ENCALADO</t>
  </si>
  <si>
    <t>FABRICACION DE CUÑEROS BOCINAS BBA DE ENCALADO</t>
  </si>
  <si>
    <t>TI-005</t>
  </si>
  <si>
    <t>RECEPTOR DE MASA</t>
  </si>
  <si>
    <t xml:space="preserve">MECANIZADO DE PUNTA DE EJE RECEPTOR DE MASA </t>
  </si>
  <si>
    <t>TI-006</t>
  </si>
  <si>
    <t>TRANSPORTADOR SIN FIN 3ERA #02</t>
  </si>
  <si>
    <t>CORTE DE PLACA PARA FABRICACION DE BASE PARA COLGANTES DE TS 3ERA #02</t>
  </si>
  <si>
    <t>MS-007</t>
  </si>
  <si>
    <t>TANQUE DE MELAZA</t>
  </si>
  <si>
    <t>FABRICACION DE PALETA PARA LIMPIEZA TANQUE DE MELAZA</t>
  </si>
  <si>
    <t>AC-009</t>
  </si>
  <si>
    <t>DOBLADORA DE TUBOS</t>
  </si>
  <si>
    <t>MANTENIMIENTO A ELECTROVALVULAS DIRECCIONALES</t>
  </si>
  <si>
    <t>TRAPOS, LAPICERO, MARCADOR, TIRRO, CINTA DE EMBALAR, TIRRO, JABON, DESENGRASANTE, FORMULA MECANICA, LIMPIADOR DE CONTACTO, FORMULA SQ70-7, THINNER, TEFLON</t>
  </si>
  <si>
    <t>TESTER, TALADRO, PULIDORA, ESMERIL, JUEGO DE LLAVES ALLEN, ALICATE, DESTORNILLADORES DE PALA, DESTORNILLADORES DE ESTRIA, JUEGO DE LLAVES FIJAS</t>
  </si>
  <si>
    <t>SE CAMBIAN O RIN POR DETERIORO POR ACEITE CONTAMINADO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</si>
</sst>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5">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theme="3" tint="0.79998168889431442"/>
        <bgColor rgb="FFE2EFDA"/>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14"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9" fontId="0" fillId="0" borderId="0" xfId="0" applyNumberFormat="1" applyAlignment="1">
      <alignment horizontal="center" vertical="center" wrapText="1"/>
    </xf>
  </cellXfs>
  <cellStyles count="1">
    <cellStyle name="Normal" xfId="0" builtinId="0"/>
  </cellStyles>
  <dxfs count="22">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3" formatCode="0%"/>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auto="1"/>
        </top>
      </border>
    </dxf>
    <dxf>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rgb="FFE2EFDA"/>
          <bgColor theme="3"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8C827"/>
      <color rgb="FF2B6BAA"/>
      <color rgb="FF2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023793-6AB2-4CFB-98A3-428B6E9798D0}" name="Tabla1" displayName="Tabla1" ref="A1:R207" totalsRowShown="0" headerRowDxfId="21" dataDxfId="19" headerRowBorderDxfId="20" tableBorderDxfId="18">
  <autoFilter ref="A1:R207" xr:uid="{69023793-6AB2-4CFB-98A3-428B6E9798D0}"/>
  <tableColumns count="18">
    <tableColumn id="1" xr3:uid="{A60EDDEE-2D21-4236-BDC0-75405D67BFF6}" name="ID_TAREA" dataDxfId="17"/>
    <tableColumn id="2" xr3:uid="{3B0F8AA3-3877-49FD-BBBF-FF4FD39B3367}" name="DEPARTAMENTO" dataDxfId="16"/>
    <tableColumn id="3" xr3:uid="{C0D24251-2C2F-4E05-85B9-C188ACC0FE0A}" name="AREA_ORIGEN" dataDxfId="15"/>
    <tableColumn id="4" xr3:uid="{F4C22A9D-5FAA-4086-B6AD-85A38704F9A6}" name="TAG_EQUIPO" dataDxfId="14"/>
    <tableColumn id="5" xr3:uid="{365FEEB7-6DD5-466E-BCD9-78550CDB0BC9}" name="TIPO_ACTIVIDAD" dataDxfId="13"/>
    <tableColumn id="6" xr3:uid="{8C196BEC-F50E-4AF0-B55D-6BB6D923FBEE}" name="DESCRIPCION" dataDxfId="12"/>
    <tableColumn id="7" xr3:uid="{9EBC92D3-1C05-4457-8FD2-B77EB9A8CF6B}" name="CUADRILLA" dataDxfId="11"/>
    <tableColumn id="8" xr3:uid="{1DDA34E0-5E6F-4C2D-B9C4-8E7D9A1041D5}" name="HH_PLANIFICADAS" dataDxfId="10"/>
    <tableColumn id="9" xr3:uid="{C02DD8A1-9E34-440D-9E3D-39401DFF0748}" name="FECHA_INICIO_PLAN" dataDxfId="9"/>
    <tableColumn id="10" xr3:uid="{57EEB6F8-A149-40D6-942D-A114AB48DD52}" name="FECHA_FIN_PLAN" dataDxfId="8"/>
    <tableColumn id="11" xr3:uid="{AF9E49AF-B22F-4C09-87A8-9581B1A7858E}" name="ESTATUS" dataDxfId="7"/>
    <tableColumn id="12" xr3:uid="{E5717776-A774-4815-A14C-8C54940999A0}" name="AVANCE_REAL" dataDxfId="6"/>
    <tableColumn id="13" xr3:uid="{52ED0B65-8F00-4E72-83B4-FDED857C3923}" name="HORARIO_TRABAJO" dataDxfId="5"/>
    <tableColumn id="14" xr3:uid="{BCD06D60-408D-4C55-91DD-9B4F645622A0}" name="JORNADA_EFECTIVA" dataDxfId="4"/>
    <tableColumn id="15" xr3:uid="{57BD2D61-82E8-4922-844C-5B32EC81EC4A}" name="CAUSA_RETRASO" dataDxfId="3"/>
    <tableColumn id="16" xr3:uid="{54B84B47-F29A-4F3B-849B-494E1D9EDAF5}" name="MATERIALES_REQUERIDOS" dataDxfId="2"/>
    <tableColumn id="17" xr3:uid="{FEDFC48F-7799-4377-ABC0-0FC48D912315}" name="EQUIPOS_USADOS" dataDxfId="1"/>
    <tableColumn id="18" xr3:uid="{3CC9E057-CFDA-4604-8B5E-BBFEBBB3C30A}" name="OBSERVACION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2060"/>
    <pageSetUpPr fitToPage="1"/>
  </sheetPr>
  <dimension ref="A1:V207"/>
  <sheetViews>
    <sheetView tabSelected="1" topLeftCell="G1" workbookViewId="0">
      <selection activeCell="N3" sqref="N3"/>
    </sheetView>
  </sheetViews>
  <sheetFormatPr baseColWidth="10" defaultColWidth="8.88671875" defaultRowHeight="14.4" x14ac:dyDescent="0.3"/>
  <cols>
    <col min="1" max="1" width="11.33203125" style="1" customWidth="1"/>
    <col min="2" max="2" width="19.44140625" style="1" customWidth="1"/>
    <col min="3" max="3" width="20" style="1" customWidth="1"/>
    <col min="4" max="4" width="22" style="1" customWidth="1"/>
    <col min="5" max="5" width="18.6640625" style="1" customWidth="1"/>
    <col min="6" max="6" width="35" style="1" customWidth="1"/>
    <col min="7" max="8" width="20" style="1" customWidth="1"/>
    <col min="9" max="9" width="21.33203125" style="1" customWidth="1"/>
    <col min="10" max="12" width="20" style="1" customWidth="1"/>
    <col min="13" max="13" width="20.44140625" style="1" customWidth="1"/>
    <col min="14" max="14" width="21" style="1" customWidth="1"/>
    <col min="15" max="15" width="20" style="1" customWidth="1"/>
    <col min="16" max="16" width="30" style="1" customWidth="1"/>
    <col min="17" max="17" width="20" style="1" customWidth="1"/>
    <col min="18" max="18" width="35" style="1" customWidth="1"/>
    <col min="19" max="20" width="8.88671875" customWidth="1"/>
    <col min="29" max="29" width="10.109375" bestFit="1" customWidth="1"/>
  </cols>
  <sheetData>
    <row r="1" spans="1:22" x14ac:dyDescent="0.3">
      <c r="A1" s="3" t="s">
        <v>38</v>
      </c>
      <c r="B1" s="3" t="s">
        <v>0</v>
      </c>
      <c r="C1" s="3" t="s">
        <v>1</v>
      </c>
      <c r="D1" s="3" t="s">
        <v>39</v>
      </c>
      <c r="E1" s="3" t="s">
        <v>2</v>
      </c>
      <c r="F1" s="3" t="s">
        <v>40</v>
      </c>
      <c r="G1" s="3" t="s">
        <v>41</v>
      </c>
      <c r="H1" s="3" t="s">
        <v>42</v>
      </c>
      <c r="I1" s="3" t="s">
        <v>43</v>
      </c>
      <c r="J1" s="3" t="s">
        <v>44</v>
      </c>
      <c r="K1" s="4" t="s">
        <v>3</v>
      </c>
      <c r="L1" s="4" t="s">
        <v>45</v>
      </c>
      <c r="M1" s="4" t="s">
        <v>4</v>
      </c>
      <c r="N1" s="4" t="s">
        <v>46</v>
      </c>
      <c r="O1" s="4" t="s">
        <v>5</v>
      </c>
      <c r="P1" s="5" t="s">
        <v>47</v>
      </c>
      <c r="Q1" s="5" t="s">
        <v>48</v>
      </c>
      <c r="R1" s="5" t="s">
        <v>49</v>
      </c>
    </row>
    <row r="2" spans="1:22" ht="27.6" customHeight="1" x14ac:dyDescent="0.3">
      <c r="A2" s="1" t="s">
        <v>50</v>
      </c>
      <c r="B2" s="1" t="s">
        <v>32</v>
      </c>
      <c r="C2" s="1" t="s">
        <v>34</v>
      </c>
      <c r="D2" s="1" t="s">
        <v>51</v>
      </c>
      <c r="E2" s="1" t="s">
        <v>28</v>
      </c>
      <c r="F2" s="1" t="s">
        <v>52</v>
      </c>
      <c r="G2" s="1">
        <v>2</v>
      </c>
      <c r="H2" s="1">
        <v>24</v>
      </c>
      <c r="I2" s="2">
        <v>46146</v>
      </c>
      <c r="J2" s="2">
        <v>46148</v>
      </c>
      <c r="K2" s="1" t="s">
        <v>22</v>
      </c>
      <c r="L2" s="6">
        <v>1</v>
      </c>
      <c r="M2" s="1" t="s">
        <v>10</v>
      </c>
      <c r="N2" s="1">
        <v>24</v>
      </c>
      <c r="P2" s="1" t="s">
        <v>53</v>
      </c>
      <c r="Q2" s="1" t="s">
        <v>54</v>
      </c>
      <c r="R2" s="1" t="s">
        <v>55</v>
      </c>
      <c r="U2" t="str">
        <f>+UPPER(Tabla1[[#This Row],[MATERIALES_REQUERIDOS]])</f>
        <v>AGUA CEPILLO DE BARRER MAGUERA BOTADOR MARTILLO</v>
      </c>
      <c r="V2" t="str">
        <f>+UPPER(Tabla1[[#This Row],[EQUIPOS_USADOS]])</f>
        <v/>
      </c>
    </row>
    <row r="3" spans="1:22" ht="43.2" x14ac:dyDescent="0.3">
      <c r="A3" s="1" t="s">
        <v>56</v>
      </c>
      <c r="B3" s="1" t="s">
        <v>32</v>
      </c>
      <c r="C3" s="1" t="s">
        <v>33</v>
      </c>
      <c r="D3" s="1" t="s">
        <v>57</v>
      </c>
      <c r="E3" s="1" t="s">
        <v>28</v>
      </c>
      <c r="F3" s="1" t="s">
        <v>58</v>
      </c>
      <c r="G3" s="1">
        <v>2</v>
      </c>
      <c r="H3" s="1">
        <v>8</v>
      </c>
      <c r="I3" s="2">
        <v>46146</v>
      </c>
      <c r="J3" s="2">
        <v>46146</v>
      </c>
      <c r="K3" s="1" t="s">
        <v>22</v>
      </c>
      <c r="L3" s="6">
        <v>1</v>
      </c>
      <c r="M3" s="1" t="s">
        <v>10</v>
      </c>
      <c r="N3" s="1">
        <v>8</v>
      </c>
      <c r="P3" s="1" t="s">
        <v>59</v>
      </c>
      <c r="Q3" s="1" t="s">
        <v>54</v>
      </c>
      <c r="U3" t="str">
        <f>+UPPER(Tabla1[[#This Row],[MATERIALES_REQUERIDOS]])</f>
        <v>GRUA PUENTE MOLINOS GASOIL LIJA 220 HERRAMIENTAS GENERAL AGUA ANTICORROCIVO GRASA</v>
      </c>
      <c r="V3" t="str">
        <f>+UPPER(Tabla1[[#This Row],[EQUIPOS_USADOS]])</f>
        <v/>
      </c>
    </row>
    <row r="4" spans="1:22" ht="43.2" x14ac:dyDescent="0.3">
      <c r="A4" s="1" t="s">
        <v>60</v>
      </c>
      <c r="B4" s="1" t="s">
        <v>32</v>
      </c>
      <c r="C4" s="1" t="s">
        <v>33</v>
      </c>
      <c r="D4" s="1" t="s">
        <v>61</v>
      </c>
      <c r="E4" s="1" t="s">
        <v>28</v>
      </c>
      <c r="F4" s="1" t="s">
        <v>58</v>
      </c>
      <c r="G4" s="1">
        <v>2</v>
      </c>
      <c r="H4" s="1">
        <v>8</v>
      </c>
      <c r="I4" s="2">
        <v>46147</v>
      </c>
      <c r="J4" s="2">
        <v>46147</v>
      </c>
      <c r="K4" s="1" t="s">
        <v>9</v>
      </c>
      <c r="L4" s="6">
        <v>0</v>
      </c>
      <c r="M4" s="1" t="s">
        <v>10</v>
      </c>
      <c r="P4" s="1" t="s">
        <v>59</v>
      </c>
      <c r="Q4" s="1" t="s">
        <v>54</v>
      </c>
      <c r="U4" t="str">
        <f>+UPPER(Tabla1[[#This Row],[MATERIALES_REQUERIDOS]])</f>
        <v>GRUA PUENTE MOLINOS GASOIL LIJA 220 HERRAMIENTAS GENERAL AGUA ANTICORROCIVO GRASA</v>
      </c>
      <c r="V4" t="str">
        <f>+UPPER(Tabla1[[#This Row],[EQUIPOS_USADOS]])</f>
        <v/>
      </c>
    </row>
    <row r="5" spans="1:22" ht="43.2" x14ac:dyDescent="0.3">
      <c r="A5" s="1" t="s">
        <v>62</v>
      </c>
      <c r="B5" s="1" t="s">
        <v>32</v>
      </c>
      <c r="C5" s="1" t="s">
        <v>33</v>
      </c>
      <c r="D5" s="1" t="s">
        <v>63</v>
      </c>
      <c r="E5" s="1" t="s">
        <v>28</v>
      </c>
      <c r="F5" s="1" t="s">
        <v>58</v>
      </c>
      <c r="G5" s="1">
        <v>2</v>
      </c>
      <c r="H5" s="1">
        <v>8</v>
      </c>
      <c r="I5" s="2">
        <v>46148</v>
      </c>
      <c r="J5" s="2">
        <v>46148</v>
      </c>
      <c r="K5" s="1" t="s">
        <v>13</v>
      </c>
      <c r="L5" s="6">
        <v>0.2</v>
      </c>
      <c r="M5" s="1" t="s">
        <v>10</v>
      </c>
      <c r="P5" s="1" t="s">
        <v>59</v>
      </c>
      <c r="Q5" s="1" t="s">
        <v>54</v>
      </c>
      <c r="U5" t="str">
        <f>+UPPER(Tabla1[[#This Row],[MATERIALES_REQUERIDOS]])</f>
        <v>GRUA PUENTE MOLINOS GASOIL LIJA 220 HERRAMIENTAS GENERAL AGUA ANTICORROCIVO GRASA</v>
      </c>
      <c r="V5" t="str">
        <f>+UPPER(Tabla1[[#This Row],[EQUIPOS_USADOS]])</f>
        <v/>
      </c>
    </row>
    <row r="6" spans="1:22" ht="43.2" x14ac:dyDescent="0.3">
      <c r="A6" s="1" t="s">
        <v>64</v>
      </c>
      <c r="B6" s="1" t="s">
        <v>32</v>
      </c>
      <c r="C6" s="1" t="s">
        <v>33</v>
      </c>
      <c r="D6" s="1" t="s">
        <v>65</v>
      </c>
      <c r="E6" s="1" t="s">
        <v>28</v>
      </c>
      <c r="F6" s="1" t="s">
        <v>58</v>
      </c>
      <c r="G6" s="1">
        <v>2</v>
      </c>
      <c r="H6" s="1">
        <v>8</v>
      </c>
      <c r="I6" s="2">
        <v>46149</v>
      </c>
      <c r="J6" s="2">
        <v>46149</v>
      </c>
      <c r="K6" s="1" t="s">
        <v>13</v>
      </c>
      <c r="L6" s="6">
        <v>0.8</v>
      </c>
      <c r="M6" s="1" t="s">
        <v>10</v>
      </c>
      <c r="P6" s="1" t="s">
        <v>59</v>
      </c>
      <c r="Q6" s="1" t="s">
        <v>54</v>
      </c>
      <c r="R6" s="1" t="s">
        <v>66</v>
      </c>
      <c r="U6" t="str">
        <f>+UPPER(Tabla1[[#This Row],[MATERIALES_REQUERIDOS]])</f>
        <v>GRUA PUENTE MOLINOS GASOIL LIJA 220 HERRAMIENTAS GENERAL AGUA ANTICORROCIVO GRASA</v>
      </c>
      <c r="V6" t="str">
        <f>+UPPER(Tabla1[[#This Row],[EQUIPOS_USADOS]])</f>
        <v/>
      </c>
    </row>
    <row r="7" spans="1:22" ht="57.6" x14ac:dyDescent="0.3">
      <c r="A7" s="1" t="s">
        <v>67</v>
      </c>
      <c r="B7" s="1" t="s">
        <v>32</v>
      </c>
      <c r="C7" s="1" t="s">
        <v>33</v>
      </c>
      <c r="D7" s="1" t="s">
        <v>68</v>
      </c>
      <c r="E7" s="1" t="s">
        <v>28</v>
      </c>
      <c r="F7" s="1" t="s">
        <v>58</v>
      </c>
      <c r="G7" s="1">
        <v>2</v>
      </c>
      <c r="H7" s="1">
        <v>8</v>
      </c>
      <c r="I7" s="2">
        <v>46150</v>
      </c>
      <c r="J7" s="2">
        <v>46150</v>
      </c>
      <c r="K7" s="1" t="s">
        <v>13</v>
      </c>
      <c r="L7" s="6">
        <v>0.8</v>
      </c>
      <c r="M7" s="1" t="s">
        <v>10</v>
      </c>
      <c r="P7" s="1" t="s">
        <v>59</v>
      </c>
      <c r="Q7" s="1" t="s">
        <v>54</v>
      </c>
      <c r="R7" s="1" t="s">
        <v>69</v>
      </c>
      <c r="U7" t="str">
        <f>+UPPER(Tabla1[[#This Row],[MATERIALES_REQUERIDOS]])</f>
        <v>GRUA PUENTE MOLINOS GASOIL LIJA 220 HERRAMIENTAS GENERAL AGUA ANTICORROCIVO GRASA</v>
      </c>
      <c r="V7" t="str">
        <f>+UPPER(Tabla1[[#This Row],[EQUIPOS_USADOS]])</f>
        <v/>
      </c>
    </row>
    <row r="8" spans="1:22" ht="28.8" x14ac:dyDescent="0.3">
      <c r="A8" s="1" t="s">
        <v>70</v>
      </c>
      <c r="B8" s="1" t="s">
        <v>15</v>
      </c>
      <c r="C8" s="1" t="s">
        <v>15</v>
      </c>
      <c r="D8" s="1" t="s">
        <v>15</v>
      </c>
      <c r="E8" s="1" t="s">
        <v>17</v>
      </c>
      <c r="F8" s="1" t="s">
        <v>71</v>
      </c>
      <c r="G8" s="1">
        <v>2</v>
      </c>
      <c r="H8" s="1">
        <v>8</v>
      </c>
      <c r="I8" s="2">
        <v>46146</v>
      </c>
      <c r="J8" s="2">
        <v>46146</v>
      </c>
      <c r="K8" s="1" t="s">
        <v>9</v>
      </c>
      <c r="L8" s="6">
        <v>1</v>
      </c>
      <c r="M8" s="1" t="s">
        <v>10</v>
      </c>
      <c r="N8" s="1">
        <v>8</v>
      </c>
      <c r="P8" s="1" t="s">
        <v>72</v>
      </c>
      <c r="Q8" s="1" t="s">
        <v>54</v>
      </c>
      <c r="U8" t="str">
        <f>+UPPER(Tabla1[[#This Row],[MATERIALES_REQUERIDOS]])</f>
        <v>MANGUERA AGUA CEPILLO ALAMBRE CEPILLO DE BARRER</v>
      </c>
      <c r="V8" t="str">
        <f>+UPPER(Tabla1[[#This Row],[EQUIPOS_USADOS]])</f>
        <v/>
      </c>
    </row>
    <row r="9" spans="1:22" ht="28.8" x14ac:dyDescent="0.3">
      <c r="A9" s="1" t="s">
        <v>73</v>
      </c>
      <c r="B9" s="1" t="s">
        <v>15</v>
      </c>
      <c r="C9" s="1" t="s">
        <v>30</v>
      </c>
      <c r="D9" s="1" t="s">
        <v>74</v>
      </c>
      <c r="E9" s="1" t="s">
        <v>28</v>
      </c>
      <c r="F9" s="1" t="s">
        <v>75</v>
      </c>
      <c r="G9" s="1">
        <v>2</v>
      </c>
      <c r="H9" s="1">
        <v>24</v>
      </c>
      <c r="I9" s="2">
        <v>46147</v>
      </c>
      <c r="J9" s="2">
        <v>46149</v>
      </c>
      <c r="K9" s="1" t="s">
        <v>9</v>
      </c>
      <c r="L9" s="6">
        <v>0.4</v>
      </c>
      <c r="M9" s="1" t="s">
        <v>10</v>
      </c>
      <c r="P9" s="1" t="s">
        <v>76</v>
      </c>
      <c r="Q9" s="1" t="s">
        <v>54</v>
      </c>
      <c r="U9" t="str">
        <f>+UPPER(Tabla1[[#This Row],[MATERIALES_REQUERIDOS]])</f>
        <v xml:space="preserve">ESPATULA SACOS REUSABLES MECATE </v>
      </c>
      <c r="V9" t="str">
        <f>+UPPER(Tabla1[[#This Row],[EQUIPOS_USADOS]])</f>
        <v/>
      </c>
    </row>
    <row r="10" spans="1:22" ht="28.8" x14ac:dyDescent="0.3">
      <c r="A10" s="1" t="s">
        <v>77</v>
      </c>
      <c r="B10" s="1" t="s">
        <v>15</v>
      </c>
      <c r="C10" s="1" t="s">
        <v>30</v>
      </c>
      <c r="D10" s="1" t="s">
        <v>74</v>
      </c>
      <c r="E10" s="1" t="s">
        <v>28</v>
      </c>
      <c r="F10" s="1" t="s">
        <v>78</v>
      </c>
      <c r="G10" s="1">
        <v>2</v>
      </c>
      <c r="H10" s="1">
        <v>8</v>
      </c>
      <c r="I10" s="2">
        <v>46150</v>
      </c>
      <c r="J10" s="2">
        <v>46150</v>
      </c>
      <c r="K10" s="1" t="s">
        <v>9</v>
      </c>
      <c r="L10" s="6">
        <v>0</v>
      </c>
      <c r="M10" s="1" t="s">
        <v>10</v>
      </c>
      <c r="P10" s="1" t="s">
        <v>79</v>
      </c>
      <c r="Q10" s="1" t="s">
        <v>80</v>
      </c>
      <c r="U10" t="str">
        <f>+UPPER(Tabla1[[#This Row],[MATERIALES_REQUERIDOS]])</f>
        <v>HIDROJECT AGUA MANGUERA</v>
      </c>
      <c r="V10" t="str">
        <f>+UPPER(Tabla1[[#This Row],[EQUIPOS_USADOS]])</f>
        <v>HIDROJECT</v>
      </c>
    </row>
    <row r="11" spans="1:22" ht="28.8" x14ac:dyDescent="0.3">
      <c r="A11" s="1" t="s">
        <v>81</v>
      </c>
      <c r="B11" s="1" t="s">
        <v>20</v>
      </c>
      <c r="C11" s="1" t="s">
        <v>30</v>
      </c>
      <c r="D11" s="1" t="s">
        <v>82</v>
      </c>
      <c r="E11" s="1" t="s">
        <v>8</v>
      </c>
      <c r="F11" s="1" t="s">
        <v>83</v>
      </c>
      <c r="G11" s="1">
        <v>2</v>
      </c>
      <c r="H11" s="1">
        <v>16</v>
      </c>
      <c r="I11" s="2">
        <v>46146</v>
      </c>
      <c r="J11" s="2">
        <v>46147</v>
      </c>
      <c r="K11" s="1" t="s">
        <v>18</v>
      </c>
      <c r="L11" s="6">
        <v>0.8</v>
      </c>
      <c r="M11" s="1" t="s">
        <v>10</v>
      </c>
      <c r="P11" s="1" t="s">
        <v>53</v>
      </c>
      <c r="Q11" s="1" t="s">
        <v>84</v>
      </c>
      <c r="R11" s="1" t="s">
        <v>85</v>
      </c>
      <c r="U11" t="str">
        <f>+UPPER(Tabla1[[#This Row],[MATERIALES_REQUERIDOS]])</f>
        <v>AGUA CEPILLO DE BARRER MAGUERA BOTADOR MARTILLO</v>
      </c>
      <c r="V11" t="str">
        <f>+UPPER(Tabla1[[#This Row],[EQUIPOS_USADOS]])</f>
        <v>BOMBA HIDROCINETICA</v>
      </c>
    </row>
    <row r="12" spans="1:22" ht="41.4" customHeight="1" x14ac:dyDescent="0.3">
      <c r="A12" s="1" t="s">
        <v>86</v>
      </c>
      <c r="B12" s="1" t="s">
        <v>20</v>
      </c>
      <c r="C12" s="1" t="s">
        <v>30</v>
      </c>
      <c r="D12" s="1" t="s">
        <v>87</v>
      </c>
      <c r="E12" s="1" t="s">
        <v>28</v>
      </c>
      <c r="F12" s="1" t="s">
        <v>88</v>
      </c>
      <c r="G12" s="1">
        <v>2</v>
      </c>
      <c r="H12" s="1">
        <v>16</v>
      </c>
      <c r="I12" s="2">
        <v>46146</v>
      </c>
      <c r="J12" s="2">
        <v>46147</v>
      </c>
      <c r="K12" s="1" t="s">
        <v>22</v>
      </c>
      <c r="L12" s="6">
        <v>1</v>
      </c>
      <c r="M12" s="1" t="s">
        <v>10</v>
      </c>
      <c r="P12" s="1" t="s">
        <v>53</v>
      </c>
      <c r="Q12" s="1" t="s">
        <v>84</v>
      </c>
      <c r="R12" s="1" t="s">
        <v>89</v>
      </c>
      <c r="U12" t="str">
        <f>+UPPER(Tabla1[[#This Row],[MATERIALES_REQUERIDOS]])</f>
        <v>AGUA CEPILLO DE BARRER MAGUERA BOTADOR MARTILLO</v>
      </c>
      <c r="V12" t="str">
        <f>+UPPER(Tabla1[[#This Row],[EQUIPOS_USADOS]])</f>
        <v>BOMBA HIDROCINETICA</v>
      </c>
    </row>
    <row r="13" spans="1:22" ht="28.8" x14ac:dyDescent="0.3">
      <c r="A13" s="1" t="s">
        <v>90</v>
      </c>
      <c r="B13" s="1" t="s">
        <v>20</v>
      </c>
      <c r="C13" s="1" t="s">
        <v>30</v>
      </c>
      <c r="D13" s="1" t="s">
        <v>91</v>
      </c>
      <c r="E13" s="1" t="s">
        <v>8</v>
      </c>
      <c r="F13" s="1" t="s">
        <v>83</v>
      </c>
      <c r="G13" s="1">
        <v>2</v>
      </c>
      <c r="H13" s="1">
        <v>16</v>
      </c>
      <c r="I13" s="2">
        <v>46148</v>
      </c>
      <c r="J13" s="2">
        <v>46149</v>
      </c>
      <c r="K13" s="1" t="s">
        <v>9</v>
      </c>
      <c r="L13" s="6">
        <v>0</v>
      </c>
      <c r="M13" s="1" t="s">
        <v>10</v>
      </c>
      <c r="P13" s="1" t="s">
        <v>53</v>
      </c>
      <c r="Q13" s="1" t="s">
        <v>84</v>
      </c>
      <c r="R13" s="1" t="s">
        <v>85</v>
      </c>
      <c r="U13" t="str">
        <f>+UPPER(Tabla1[[#This Row],[MATERIALES_REQUERIDOS]])</f>
        <v>AGUA CEPILLO DE BARRER MAGUERA BOTADOR MARTILLO</v>
      </c>
      <c r="V13" t="str">
        <f>+UPPER(Tabla1[[#This Row],[EQUIPOS_USADOS]])</f>
        <v>BOMBA HIDROCINETICA</v>
      </c>
    </row>
    <row r="14" spans="1:22" ht="28.8" x14ac:dyDescent="0.3">
      <c r="A14" s="1" t="s">
        <v>92</v>
      </c>
      <c r="B14" s="1" t="s">
        <v>20</v>
      </c>
      <c r="C14" s="1" t="s">
        <v>30</v>
      </c>
      <c r="D14" s="1" t="s">
        <v>93</v>
      </c>
      <c r="E14" s="1" t="s">
        <v>28</v>
      </c>
      <c r="F14" s="1" t="s">
        <v>94</v>
      </c>
      <c r="G14" s="1">
        <v>2</v>
      </c>
      <c r="H14" s="1">
        <v>8</v>
      </c>
      <c r="I14" s="2">
        <v>46148</v>
      </c>
      <c r="J14" s="2">
        <v>46148</v>
      </c>
      <c r="K14" s="1" t="s">
        <v>9</v>
      </c>
      <c r="L14" s="6">
        <v>1</v>
      </c>
      <c r="M14" s="1" t="s">
        <v>10</v>
      </c>
      <c r="P14" s="1" t="s">
        <v>53</v>
      </c>
      <c r="Q14" s="1" t="s">
        <v>84</v>
      </c>
      <c r="R14" s="1" t="s">
        <v>95</v>
      </c>
      <c r="U14" t="str">
        <f>+UPPER(Tabla1[[#This Row],[MATERIALES_REQUERIDOS]])</f>
        <v>AGUA CEPILLO DE BARRER MAGUERA BOTADOR MARTILLO</v>
      </c>
      <c r="V14" t="str">
        <f>+UPPER(Tabla1[[#This Row],[EQUIPOS_USADOS]])</f>
        <v>BOMBA HIDROCINETICA</v>
      </c>
    </row>
    <row r="15" spans="1:22" ht="28.8" x14ac:dyDescent="0.3">
      <c r="A15" s="1" t="s">
        <v>96</v>
      </c>
      <c r="B15" s="1" t="s">
        <v>20</v>
      </c>
      <c r="C15" s="1" t="s">
        <v>30</v>
      </c>
      <c r="D15" s="1" t="s">
        <v>97</v>
      </c>
      <c r="E15" s="1" t="s">
        <v>8</v>
      </c>
      <c r="F15" s="1" t="s">
        <v>83</v>
      </c>
      <c r="G15" s="1">
        <v>2</v>
      </c>
      <c r="H15" s="1">
        <v>16</v>
      </c>
      <c r="I15" s="2">
        <v>46150</v>
      </c>
      <c r="J15" s="2"/>
      <c r="K15" s="1" t="s">
        <v>9</v>
      </c>
      <c r="L15" s="6">
        <v>0</v>
      </c>
      <c r="M15" s="1" t="s">
        <v>10</v>
      </c>
      <c r="P15" s="1" t="s">
        <v>53</v>
      </c>
      <c r="Q15" s="1" t="s">
        <v>54</v>
      </c>
      <c r="U15" t="str">
        <f>+UPPER(Tabla1[[#This Row],[MATERIALES_REQUERIDOS]])</f>
        <v>AGUA CEPILLO DE BARRER MAGUERA BOTADOR MARTILLO</v>
      </c>
      <c r="V15" t="str">
        <f>+UPPER(Tabla1[[#This Row],[EQUIPOS_USADOS]])</f>
        <v/>
      </c>
    </row>
    <row r="16" spans="1:22" ht="28.8" x14ac:dyDescent="0.3">
      <c r="A16" s="1" t="s">
        <v>98</v>
      </c>
      <c r="B16" s="1" t="s">
        <v>20</v>
      </c>
      <c r="C16" s="1" t="s">
        <v>16</v>
      </c>
      <c r="D16" s="1" t="s">
        <v>99</v>
      </c>
      <c r="E16" s="1" t="s">
        <v>28</v>
      </c>
      <c r="F16" s="1" t="s">
        <v>100</v>
      </c>
      <c r="G16" s="1">
        <v>2</v>
      </c>
      <c r="H16" s="1">
        <v>16</v>
      </c>
      <c r="I16" s="2">
        <v>46149</v>
      </c>
      <c r="J16" s="2">
        <v>46150</v>
      </c>
      <c r="K16" s="1" t="s">
        <v>9</v>
      </c>
      <c r="L16" s="6">
        <v>0.1</v>
      </c>
      <c r="M16" s="1" t="s">
        <v>10</v>
      </c>
      <c r="P16" s="1" t="s">
        <v>53</v>
      </c>
      <c r="Q16" s="1" t="s">
        <v>54</v>
      </c>
      <c r="U16" t="str">
        <f>+UPPER(Tabla1[[#This Row],[MATERIALES_REQUERIDOS]])</f>
        <v>AGUA CEPILLO DE BARRER MAGUERA BOTADOR MARTILLO</v>
      </c>
      <c r="V16" t="str">
        <f>+UPPER(Tabla1[[#This Row],[EQUIPOS_USADOS]])</f>
        <v/>
      </c>
    </row>
    <row r="17" spans="1:22" ht="28.8" x14ac:dyDescent="0.3">
      <c r="A17" s="1" t="s">
        <v>101</v>
      </c>
      <c r="B17" s="1" t="s">
        <v>23</v>
      </c>
      <c r="C17" s="1" t="s">
        <v>12</v>
      </c>
      <c r="D17" s="1" t="s">
        <v>102</v>
      </c>
      <c r="E17" s="1" t="s">
        <v>28</v>
      </c>
      <c r="F17" s="1" t="s">
        <v>103</v>
      </c>
      <c r="G17" s="1">
        <v>2</v>
      </c>
      <c r="H17" s="1">
        <v>4</v>
      </c>
      <c r="I17" s="2">
        <v>46146</v>
      </c>
      <c r="J17" s="2">
        <v>46146</v>
      </c>
      <c r="K17" s="1" t="s">
        <v>22</v>
      </c>
      <c r="L17" s="6">
        <v>1</v>
      </c>
      <c r="M17" s="1" t="s">
        <v>10</v>
      </c>
      <c r="P17" s="1" t="s">
        <v>104</v>
      </c>
      <c r="Q17" s="1" t="s">
        <v>54</v>
      </c>
      <c r="U17" t="str">
        <f>+UPPER(Tabla1[[#This Row],[MATERIALES_REQUERIDOS]])</f>
        <v>HERRAMIENTAS COMBINADAS</v>
      </c>
      <c r="V17" t="str">
        <f>+UPPER(Tabla1[[#This Row],[EQUIPOS_USADOS]])</f>
        <v/>
      </c>
    </row>
    <row r="18" spans="1:22" ht="57.6" x14ac:dyDescent="0.3">
      <c r="A18" s="1" t="s">
        <v>105</v>
      </c>
      <c r="B18" s="1" t="s">
        <v>23</v>
      </c>
      <c r="C18" s="1" t="s">
        <v>12</v>
      </c>
      <c r="D18" s="1" t="s">
        <v>106</v>
      </c>
      <c r="E18" s="1" t="s">
        <v>28</v>
      </c>
      <c r="F18" s="1" t="s">
        <v>107</v>
      </c>
      <c r="G18" s="1">
        <v>2</v>
      </c>
      <c r="H18" s="1">
        <v>4</v>
      </c>
      <c r="I18" s="2">
        <v>46146</v>
      </c>
      <c r="J18" s="2">
        <v>46146</v>
      </c>
      <c r="K18" s="1" t="s">
        <v>22</v>
      </c>
      <c r="L18" s="6">
        <v>1</v>
      </c>
      <c r="M18" s="1" t="s">
        <v>10</v>
      </c>
      <c r="N18" s="1" t="s">
        <v>108</v>
      </c>
      <c r="O18" s="1" t="s">
        <v>25</v>
      </c>
      <c r="P18" s="1" t="s">
        <v>104</v>
      </c>
      <c r="Q18" s="1" t="s">
        <v>54</v>
      </c>
      <c r="R18" s="1" t="s">
        <v>109</v>
      </c>
      <c r="U18" t="str">
        <f>+UPPER(Tabla1[[#This Row],[MATERIALES_REQUERIDOS]])</f>
        <v>HERRAMIENTAS COMBINADAS</v>
      </c>
      <c r="V18" t="str">
        <f>+UPPER(Tabla1[[#This Row],[EQUIPOS_USADOS]])</f>
        <v/>
      </c>
    </row>
    <row r="19" spans="1:22" ht="28.8" x14ac:dyDescent="0.3">
      <c r="A19" s="1" t="s">
        <v>110</v>
      </c>
      <c r="B19" s="1" t="s">
        <v>23</v>
      </c>
      <c r="C19" s="1" t="s">
        <v>12</v>
      </c>
      <c r="D19" s="1" t="s">
        <v>111</v>
      </c>
      <c r="E19" s="1" t="s">
        <v>28</v>
      </c>
      <c r="F19" s="1" t="s">
        <v>112</v>
      </c>
      <c r="G19" s="1">
        <v>2</v>
      </c>
      <c r="H19" s="1">
        <v>4</v>
      </c>
      <c r="I19" s="2">
        <v>46146</v>
      </c>
      <c r="J19" s="2">
        <v>46146</v>
      </c>
      <c r="K19" s="1" t="s">
        <v>22</v>
      </c>
      <c r="L19" s="6">
        <v>1</v>
      </c>
      <c r="M19" s="1" t="s">
        <v>10</v>
      </c>
      <c r="N19" s="1" t="s">
        <v>113</v>
      </c>
      <c r="P19" s="1" t="s">
        <v>104</v>
      </c>
      <c r="Q19" s="1" t="s">
        <v>54</v>
      </c>
      <c r="U19" t="str">
        <f>+UPPER(Tabla1[[#This Row],[MATERIALES_REQUERIDOS]])</f>
        <v>HERRAMIENTAS COMBINADAS</v>
      </c>
      <c r="V19" t="str">
        <f>+UPPER(Tabla1[[#This Row],[EQUIPOS_USADOS]])</f>
        <v/>
      </c>
    </row>
    <row r="20" spans="1:22" ht="28.8" x14ac:dyDescent="0.3">
      <c r="A20" s="1" t="s">
        <v>114</v>
      </c>
      <c r="B20" s="1" t="s">
        <v>23</v>
      </c>
      <c r="C20" s="1" t="s">
        <v>12</v>
      </c>
      <c r="D20" s="1" t="s">
        <v>106</v>
      </c>
      <c r="E20" s="1" t="s">
        <v>28</v>
      </c>
      <c r="F20" s="1" t="s">
        <v>115</v>
      </c>
      <c r="G20" s="1">
        <v>2</v>
      </c>
      <c r="H20" s="1">
        <v>4</v>
      </c>
      <c r="I20" s="2">
        <v>46146</v>
      </c>
      <c r="J20" s="2">
        <v>46146</v>
      </c>
      <c r="K20" s="1" t="s">
        <v>22</v>
      </c>
      <c r="L20" s="6">
        <v>1</v>
      </c>
      <c r="M20" s="1" t="s">
        <v>10</v>
      </c>
      <c r="N20" s="1" t="s">
        <v>113</v>
      </c>
      <c r="P20" s="1" t="s">
        <v>104</v>
      </c>
      <c r="Q20" s="1" t="s">
        <v>54</v>
      </c>
      <c r="U20" t="str">
        <f>+UPPER(Tabla1[[#This Row],[MATERIALES_REQUERIDOS]])</f>
        <v>HERRAMIENTAS COMBINADAS</v>
      </c>
      <c r="V20" t="str">
        <f>+UPPER(Tabla1[[#This Row],[EQUIPOS_USADOS]])</f>
        <v/>
      </c>
    </row>
    <row r="21" spans="1:22" ht="31.5" customHeight="1" x14ac:dyDescent="0.3">
      <c r="A21" s="1" t="s">
        <v>116</v>
      </c>
      <c r="B21" s="1" t="s">
        <v>23</v>
      </c>
      <c r="C21" s="1" t="s">
        <v>12</v>
      </c>
      <c r="D21" s="1" t="s">
        <v>106</v>
      </c>
      <c r="E21" s="1" t="s">
        <v>28</v>
      </c>
      <c r="F21" s="1" t="s">
        <v>117</v>
      </c>
      <c r="G21" s="1">
        <v>2</v>
      </c>
      <c r="H21" s="1">
        <v>8</v>
      </c>
      <c r="I21" s="2">
        <v>46147</v>
      </c>
      <c r="J21" s="2">
        <v>46147</v>
      </c>
      <c r="K21" s="1" t="s">
        <v>22</v>
      </c>
      <c r="L21" s="6">
        <v>1</v>
      </c>
      <c r="M21" s="1" t="s">
        <v>10</v>
      </c>
      <c r="N21" s="1" t="s">
        <v>113</v>
      </c>
      <c r="P21" s="1" t="s">
        <v>104</v>
      </c>
      <c r="Q21" s="1" t="s">
        <v>54</v>
      </c>
      <c r="U21" t="str">
        <f>+UPPER(Tabla1[[#This Row],[MATERIALES_REQUERIDOS]])</f>
        <v>HERRAMIENTAS COMBINADAS</v>
      </c>
      <c r="V21" t="str">
        <f>+UPPER(Tabla1[[#This Row],[EQUIPOS_USADOS]])</f>
        <v/>
      </c>
    </row>
    <row r="22" spans="1:22" ht="28.8" x14ac:dyDescent="0.3">
      <c r="A22" s="1" t="s">
        <v>118</v>
      </c>
      <c r="B22" s="1" t="s">
        <v>23</v>
      </c>
      <c r="C22" s="1" t="s">
        <v>12</v>
      </c>
      <c r="D22" s="1" t="s">
        <v>106</v>
      </c>
      <c r="E22" s="1" t="s">
        <v>28</v>
      </c>
      <c r="F22" s="1" t="s">
        <v>119</v>
      </c>
      <c r="G22" s="1">
        <v>2</v>
      </c>
      <c r="H22" s="1">
        <v>2</v>
      </c>
      <c r="I22" s="2">
        <v>46147</v>
      </c>
      <c r="J22" s="2">
        <v>46147</v>
      </c>
      <c r="K22" s="1" t="s">
        <v>22</v>
      </c>
      <c r="L22" s="6">
        <v>1</v>
      </c>
      <c r="M22" s="1" t="s">
        <v>10</v>
      </c>
      <c r="N22" s="1" t="s">
        <v>120</v>
      </c>
      <c r="P22" s="1" t="s">
        <v>104</v>
      </c>
      <c r="Q22" s="1" t="s">
        <v>54</v>
      </c>
      <c r="U22" t="str">
        <f>+UPPER(Tabla1[[#This Row],[MATERIALES_REQUERIDOS]])</f>
        <v>HERRAMIENTAS COMBINADAS</v>
      </c>
      <c r="V22" t="str">
        <f>+UPPER(Tabla1[[#This Row],[EQUIPOS_USADOS]])</f>
        <v/>
      </c>
    </row>
    <row r="23" spans="1:22" ht="28.8" x14ac:dyDescent="0.3">
      <c r="A23" s="1" t="s">
        <v>121</v>
      </c>
      <c r="B23" s="1" t="s">
        <v>23</v>
      </c>
      <c r="C23" s="1" t="s">
        <v>12</v>
      </c>
      <c r="D23" s="1" t="s">
        <v>106</v>
      </c>
      <c r="E23" s="1" t="s">
        <v>28</v>
      </c>
      <c r="F23" s="1" t="s">
        <v>122</v>
      </c>
      <c r="G23" s="1">
        <v>2</v>
      </c>
      <c r="H23" s="1">
        <v>3</v>
      </c>
      <c r="I23" s="2">
        <v>46147</v>
      </c>
      <c r="J23" s="2">
        <v>46147</v>
      </c>
      <c r="K23" s="1" t="s">
        <v>22</v>
      </c>
      <c r="L23" s="6">
        <v>1</v>
      </c>
      <c r="M23" s="1" t="s">
        <v>10</v>
      </c>
      <c r="P23" s="1" t="s">
        <v>104</v>
      </c>
      <c r="Q23" s="1" t="s">
        <v>54</v>
      </c>
      <c r="U23" t="str">
        <f>+UPPER(Tabla1[[#This Row],[MATERIALES_REQUERIDOS]])</f>
        <v>HERRAMIENTAS COMBINADAS</v>
      </c>
      <c r="V23" t="str">
        <f>+UPPER(Tabla1[[#This Row],[EQUIPOS_USADOS]])</f>
        <v/>
      </c>
    </row>
    <row r="24" spans="1:22" ht="43.2" x14ac:dyDescent="0.3">
      <c r="A24" s="1" t="s">
        <v>123</v>
      </c>
      <c r="B24" s="1" t="s">
        <v>23</v>
      </c>
      <c r="C24" s="1" t="s">
        <v>12</v>
      </c>
      <c r="D24" s="1" t="s">
        <v>106</v>
      </c>
      <c r="E24" s="1" t="s">
        <v>28</v>
      </c>
      <c r="F24" s="1" t="s">
        <v>124</v>
      </c>
      <c r="G24" s="1">
        <v>2</v>
      </c>
      <c r="H24" s="1">
        <v>3</v>
      </c>
      <c r="I24" s="2">
        <v>46147</v>
      </c>
      <c r="J24" s="2">
        <v>46147</v>
      </c>
      <c r="K24" s="1" t="s">
        <v>22</v>
      </c>
      <c r="L24" s="6">
        <v>0</v>
      </c>
      <c r="M24" s="1" t="s">
        <v>10</v>
      </c>
      <c r="P24" s="1" t="s">
        <v>104</v>
      </c>
      <c r="Q24" s="1" t="s">
        <v>54</v>
      </c>
      <c r="R24" s="1" t="s">
        <v>125</v>
      </c>
      <c r="U24" t="str">
        <f>+UPPER(Tabla1[[#This Row],[MATERIALES_REQUERIDOS]])</f>
        <v>HERRAMIENTAS COMBINADAS</v>
      </c>
      <c r="V24" t="str">
        <f>+UPPER(Tabla1[[#This Row],[EQUIPOS_USADOS]])</f>
        <v/>
      </c>
    </row>
    <row r="25" spans="1:22" ht="43.2" x14ac:dyDescent="0.3">
      <c r="A25" s="1" t="s">
        <v>126</v>
      </c>
      <c r="B25" s="1" t="s">
        <v>23</v>
      </c>
      <c r="C25" s="1" t="s">
        <v>12</v>
      </c>
      <c r="D25" s="1" t="s">
        <v>127</v>
      </c>
      <c r="E25" s="1" t="s">
        <v>28</v>
      </c>
      <c r="F25" s="1" t="s">
        <v>128</v>
      </c>
      <c r="G25" s="1">
        <v>2</v>
      </c>
      <c r="H25" s="1">
        <v>8</v>
      </c>
      <c r="I25" s="2">
        <v>46148</v>
      </c>
      <c r="J25" s="2">
        <v>46148</v>
      </c>
      <c r="K25" s="1" t="s">
        <v>18</v>
      </c>
      <c r="L25" s="6">
        <v>0.3</v>
      </c>
      <c r="M25" s="1" t="s">
        <v>10</v>
      </c>
      <c r="P25" s="1" t="s">
        <v>104</v>
      </c>
      <c r="Q25" s="1" t="s">
        <v>54</v>
      </c>
      <c r="R25" s="1" t="s">
        <v>129</v>
      </c>
      <c r="U25" t="str">
        <f>+UPPER(Tabla1[[#This Row],[MATERIALES_REQUERIDOS]])</f>
        <v>HERRAMIENTAS COMBINADAS</v>
      </c>
      <c r="V25" t="str">
        <f>+UPPER(Tabla1[[#This Row],[EQUIPOS_USADOS]])</f>
        <v/>
      </c>
    </row>
    <row r="26" spans="1:22" ht="45" customHeight="1" x14ac:dyDescent="0.3">
      <c r="A26" s="1" t="s">
        <v>130</v>
      </c>
      <c r="B26" s="1" t="s">
        <v>23</v>
      </c>
      <c r="C26" s="1" t="s">
        <v>12</v>
      </c>
      <c r="D26" s="1" t="s">
        <v>106</v>
      </c>
      <c r="E26" s="1" t="s">
        <v>28</v>
      </c>
      <c r="F26" s="1" t="s">
        <v>131</v>
      </c>
      <c r="G26" s="1">
        <v>2</v>
      </c>
      <c r="H26" s="1">
        <v>6</v>
      </c>
      <c r="I26" s="2">
        <v>46148</v>
      </c>
      <c r="J26" s="2">
        <v>46148</v>
      </c>
      <c r="K26" s="1" t="s">
        <v>22</v>
      </c>
      <c r="L26" s="6">
        <v>1</v>
      </c>
      <c r="M26" s="1" t="s">
        <v>10</v>
      </c>
      <c r="P26" s="1" t="s">
        <v>104</v>
      </c>
      <c r="Q26" s="1" t="s">
        <v>54</v>
      </c>
      <c r="U26" t="str">
        <f>+UPPER(Tabla1[[#This Row],[MATERIALES_REQUERIDOS]])</f>
        <v>HERRAMIENTAS COMBINADAS</v>
      </c>
      <c r="V26" t="str">
        <f>+UPPER(Tabla1[[#This Row],[EQUIPOS_USADOS]])</f>
        <v/>
      </c>
    </row>
    <row r="27" spans="1:22" ht="28.8" x14ac:dyDescent="0.3">
      <c r="A27" s="1" t="s">
        <v>132</v>
      </c>
      <c r="B27" s="1" t="s">
        <v>23</v>
      </c>
      <c r="C27" s="1" t="s">
        <v>12</v>
      </c>
      <c r="D27" s="1" t="s">
        <v>106</v>
      </c>
      <c r="E27" s="1" t="s">
        <v>28</v>
      </c>
      <c r="F27" s="1" t="s">
        <v>133</v>
      </c>
      <c r="G27" s="1">
        <v>2</v>
      </c>
      <c r="H27" s="1">
        <v>2</v>
      </c>
      <c r="I27" s="2">
        <v>46148</v>
      </c>
      <c r="J27" s="2">
        <v>46148</v>
      </c>
      <c r="K27" s="1" t="s">
        <v>22</v>
      </c>
      <c r="L27" s="6">
        <v>1</v>
      </c>
      <c r="M27" s="1" t="s">
        <v>10</v>
      </c>
      <c r="P27" s="1" t="s">
        <v>104</v>
      </c>
      <c r="Q27" s="1" t="s">
        <v>54</v>
      </c>
      <c r="U27" t="str">
        <f>+UPPER(Tabla1[[#This Row],[MATERIALES_REQUERIDOS]])</f>
        <v>HERRAMIENTAS COMBINADAS</v>
      </c>
      <c r="V27" t="str">
        <f>+UPPER(Tabla1[[#This Row],[EQUIPOS_USADOS]])</f>
        <v/>
      </c>
    </row>
    <row r="28" spans="1:22" ht="28.8" x14ac:dyDescent="0.3">
      <c r="A28" s="1" t="s">
        <v>134</v>
      </c>
      <c r="B28" s="1" t="s">
        <v>23</v>
      </c>
      <c r="C28" s="1" t="s">
        <v>12</v>
      </c>
      <c r="D28" s="1" t="s">
        <v>127</v>
      </c>
      <c r="E28" s="1" t="s">
        <v>28</v>
      </c>
      <c r="F28" s="1" t="s">
        <v>135</v>
      </c>
      <c r="G28" s="1">
        <v>2</v>
      </c>
      <c r="H28" s="1">
        <v>4</v>
      </c>
      <c r="I28" s="2">
        <v>46149</v>
      </c>
      <c r="J28" s="2">
        <v>46149</v>
      </c>
      <c r="K28" s="1" t="s">
        <v>9</v>
      </c>
      <c r="L28" s="6">
        <v>0</v>
      </c>
      <c r="M28" s="1" t="s">
        <v>10</v>
      </c>
      <c r="P28" s="1" t="s">
        <v>104</v>
      </c>
      <c r="Q28" s="1" t="s">
        <v>54</v>
      </c>
      <c r="U28" t="str">
        <f>+UPPER(Tabla1[[#This Row],[MATERIALES_REQUERIDOS]])</f>
        <v>HERRAMIENTAS COMBINADAS</v>
      </c>
      <c r="V28" t="str">
        <f>+UPPER(Tabla1[[#This Row],[EQUIPOS_USADOS]])</f>
        <v/>
      </c>
    </row>
    <row r="29" spans="1:22" ht="28.8" x14ac:dyDescent="0.3">
      <c r="A29" s="1" t="s">
        <v>136</v>
      </c>
      <c r="B29" s="1" t="s">
        <v>23</v>
      </c>
      <c r="C29" s="1" t="s">
        <v>12</v>
      </c>
      <c r="D29" s="1" t="s">
        <v>137</v>
      </c>
      <c r="E29" s="1" t="s">
        <v>28</v>
      </c>
      <c r="F29" s="1" t="s">
        <v>138</v>
      </c>
      <c r="G29" s="1">
        <v>2</v>
      </c>
      <c r="H29" s="1">
        <v>8</v>
      </c>
      <c r="I29" s="2">
        <v>46149</v>
      </c>
      <c r="J29" s="2">
        <v>46149</v>
      </c>
      <c r="K29" s="1" t="s">
        <v>9</v>
      </c>
      <c r="L29" s="6">
        <v>0</v>
      </c>
      <c r="M29" s="1" t="s">
        <v>10</v>
      </c>
      <c r="P29" s="1" t="s">
        <v>104</v>
      </c>
      <c r="Q29" s="1" t="s">
        <v>54</v>
      </c>
      <c r="U29" t="str">
        <f>+UPPER(Tabla1[[#This Row],[MATERIALES_REQUERIDOS]])</f>
        <v>HERRAMIENTAS COMBINADAS</v>
      </c>
      <c r="V29" t="str">
        <f>+UPPER(Tabla1[[#This Row],[EQUIPOS_USADOS]])</f>
        <v/>
      </c>
    </row>
    <row r="30" spans="1:22" ht="28.8" x14ac:dyDescent="0.3">
      <c r="A30" s="1" t="s">
        <v>139</v>
      </c>
      <c r="B30" s="1" t="s">
        <v>23</v>
      </c>
      <c r="C30" s="1" t="s">
        <v>12</v>
      </c>
      <c r="D30" s="1" t="s">
        <v>106</v>
      </c>
      <c r="E30" s="1" t="s">
        <v>28</v>
      </c>
      <c r="F30" s="1" t="s">
        <v>140</v>
      </c>
      <c r="G30" s="1">
        <v>2</v>
      </c>
      <c r="H30" s="1">
        <v>4</v>
      </c>
      <c r="I30" s="2">
        <v>46149</v>
      </c>
      <c r="J30" s="2">
        <v>46149</v>
      </c>
      <c r="K30" s="1" t="s">
        <v>9</v>
      </c>
      <c r="L30" s="6">
        <v>0</v>
      </c>
      <c r="M30" s="1" t="s">
        <v>10</v>
      </c>
      <c r="P30" s="1" t="s">
        <v>104</v>
      </c>
      <c r="Q30" s="1" t="s">
        <v>54</v>
      </c>
      <c r="U30" t="str">
        <f>+UPPER(Tabla1[[#This Row],[MATERIALES_REQUERIDOS]])</f>
        <v>HERRAMIENTAS COMBINADAS</v>
      </c>
      <c r="V30" t="str">
        <f>+UPPER(Tabla1[[#This Row],[EQUIPOS_USADOS]])</f>
        <v/>
      </c>
    </row>
    <row r="31" spans="1:22" ht="28.8" x14ac:dyDescent="0.3">
      <c r="A31" s="1" t="s">
        <v>141</v>
      </c>
      <c r="B31" s="1" t="s">
        <v>23</v>
      </c>
      <c r="C31" s="1" t="s">
        <v>12</v>
      </c>
      <c r="D31" s="1" t="s">
        <v>142</v>
      </c>
      <c r="E31" s="1" t="s">
        <v>28</v>
      </c>
      <c r="F31" s="1" t="s">
        <v>143</v>
      </c>
      <c r="G31" s="1">
        <v>2</v>
      </c>
      <c r="H31" s="1">
        <v>4</v>
      </c>
      <c r="I31" s="2">
        <v>46150</v>
      </c>
      <c r="J31" s="2">
        <v>46150</v>
      </c>
      <c r="K31" s="1" t="s">
        <v>9</v>
      </c>
      <c r="L31" s="6">
        <v>0</v>
      </c>
      <c r="M31" s="1" t="s">
        <v>10</v>
      </c>
      <c r="P31" s="1" t="s">
        <v>104</v>
      </c>
      <c r="Q31" s="1" t="s">
        <v>54</v>
      </c>
      <c r="U31" t="str">
        <f>+UPPER(Tabla1[[#This Row],[MATERIALES_REQUERIDOS]])</f>
        <v>HERRAMIENTAS COMBINADAS</v>
      </c>
      <c r="V31" t="str">
        <f>+UPPER(Tabla1[[#This Row],[EQUIPOS_USADOS]])</f>
        <v/>
      </c>
    </row>
    <row r="32" spans="1:22" ht="28.8" x14ac:dyDescent="0.3">
      <c r="A32" s="1" t="s">
        <v>144</v>
      </c>
      <c r="B32" s="1" t="s">
        <v>23</v>
      </c>
      <c r="C32" s="1" t="s">
        <v>12</v>
      </c>
      <c r="D32" s="1" t="s">
        <v>137</v>
      </c>
      <c r="E32" s="1" t="s">
        <v>28</v>
      </c>
      <c r="F32" s="1" t="s">
        <v>145</v>
      </c>
      <c r="G32" s="1">
        <v>2</v>
      </c>
      <c r="H32" s="1">
        <v>4</v>
      </c>
      <c r="I32" s="2">
        <v>46150</v>
      </c>
      <c r="J32" s="2">
        <v>46150</v>
      </c>
      <c r="K32" s="1" t="s">
        <v>9</v>
      </c>
      <c r="L32" s="6">
        <v>0</v>
      </c>
      <c r="M32" s="1" t="s">
        <v>10</v>
      </c>
      <c r="P32" s="1" t="s">
        <v>104</v>
      </c>
      <c r="Q32" s="1" t="s">
        <v>54</v>
      </c>
      <c r="U32" t="str">
        <f>+UPPER(Tabla1[[#This Row],[MATERIALES_REQUERIDOS]])</f>
        <v>HERRAMIENTAS COMBINADAS</v>
      </c>
      <c r="V32" t="str">
        <f>+UPPER(Tabla1[[#This Row],[EQUIPOS_USADOS]])</f>
        <v/>
      </c>
    </row>
    <row r="33" spans="1:22" ht="28.8" x14ac:dyDescent="0.3">
      <c r="A33" s="1" t="s">
        <v>146</v>
      </c>
      <c r="B33" s="1" t="s">
        <v>23</v>
      </c>
      <c r="C33" s="1" t="s">
        <v>12</v>
      </c>
      <c r="D33" s="1" t="s">
        <v>147</v>
      </c>
      <c r="E33" s="1" t="s">
        <v>28</v>
      </c>
      <c r="F33" s="1" t="s">
        <v>148</v>
      </c>
      <c r="G33" s="1">
        <v>2</v>
      </c>
      <c r="H33" s="1">
        <v>4</v>
      </c>
      <c r="I33" s="2">
        <v>46150</v>
      </c>
      <c r="J33" s="2">
        <v>46150</v>
      </c>
      <c r="K33" s="1" t="s">
        <v>9</v>
      </c>
      <c r="L33" s="6">
        <v>0</v>
      </c>
      <c r="M33" s="1" t="s">
        <v>10</v>
      </c>
      <c r="P33" s="1" t="s">
        <v>104</v>
      </c>
      <c r="Q33" s="1" t="s">
        <v>54</v>
      </c>
      <c r="U33" t="str">
        <f>+UPPER(Tabla1[[#This Row],[MATERIALES_REQUERIDOS]])</f>
        <v>HERRAMIENTAS COMBINADAS</v>
      </c>
      <c r="V33" t="str">
        <f>+UPPER(Tabla1[[#This Row],[EQUIPOS_USADOS]])</f>
        <v/>
      </c>
    </row>
    <row r="34" spans="1:22" ht="28.8" x14ac:dyDescent="0.3">
      <c r="A34" s="1" t="s">
        <v>149</v>
      </c>
      <c r="B34" s="1" t="s">
        <v>23</v>
      </c>
      <c r="C34" s="1" t="s">
        <v>12</v>
      </c>
      <c r="D34" s="1" t="s">
        <v>12</v>
      </c>
      <c r="E34" s="1" t="s">
        <v>28</v>
      </c>
      <c r="F34" s="1" t="s">
        <v>150</v>
      </c>
      <c r="G34" s="1">
        <v>4</v>
      </c>
      <c r="H34" s="1">
        <v>4</v>
      </c>
      <c r="I34" s="2">
        <v>46150</v>
      </c>
      <c r="J34" s="2">
        <v>46150</v>
      </c>
      <c r="K34" s="1" t="s">
        <v>9</v>
      </c>
      <c r="L34" s="6">
        <v>0</v>
      </c>
      <c r="M34" s="1" t="s">
        <v>10</v>
      </c>
      <c r="P34" s="1" t="s">
        <v>151</v>
      </c>
      <c r="Q34" s="1" t="s">
        <v>54</v>
      </c>
      <c r="U34" t="str">
        <f>+UPPER(Tabla1[[#This Row],[MATERIALES_REQUERIDOS]])</f>
        <v xml:space="preserve">CEPILLO MANGUERA PALA AGUA </v>
      </c>
      <c r="V34" t="str">
        <f>+UPPER(Tabla1[[#This Row],[EQUIPOS_USADOS]])</f>
        <v/>
      </c>
    </row>
    <row r="35" spans="1:22" ht="28.8" x14ac:dyDescent="0.3">
      <c r="A35" s="1" t="s">
        <v>152</v>
      </c>
      <c r="B35" s="1" t="s">
        <v>29</v>
      </c>
      <c r="C35" s="1" t="s">
        <v>33</v>
      </c>
      <c r="D35" s="1" t="s">
        <v>153</v>
      </c>
      <c r="E35" s="1" t="s">
        <v>28</v>
      </c>
      <c r="F35" s="1" t="s">
        <v>154</v>
      </c>
      <c r="G35" s="1">
        <v>3</v>
      </c>
      <c r="H35" s="1">
        <v>1</v>
      </c>
      <c r="I35" s="2">
        <v>46146</v>
      </c>
      <c r="J35" s="2">
        <v>46146</v>
      </c>
      <c r="K35" s="1" t="s">
        <v>22</v>
      </c>
      <c r="L35" s="6">
        <v>1</v>
      </c>
      <c r="M35" s="1" t="s">
        <v>10</v>
      </c>
      <c r="N35" s="1">
        <v>1</v>
      </c>
      <c r="P35" s="1" t="s">
        <v>54</v>
      </c>
      <c r="Q35" s="1" t="s">
        <v>54</v>
      </c>
      <c r="U35" t="str">
        <f>+UPPER(Tabla1[[#This Row],[MATERIALES_REQUERIDOS]])</f>
        <v/>
      </c>
      <c r="V35" t="str">
        <f>+UPPER(Tabla1[[#This Row],[EQUIPOS_USADOS]])</f>
        <v/>
      </c>
    </row>
    <row r="36" spans="1:22" ht="28.8" x14ac:dyDescent="0.3">
      <c r="A36" s="1" t="s">
        <v>155</v>
      </c>
      <c r="B36" s="1" t="s">
        <v>29</v>
      </c>
      <c r="C36" s="1" t="s">
        <v>33</v>
      </c>
      <c r="D36" s="1" t="s">
        <v>153</v>
      </c>
      <c r="E36" s="1" t="s">
        <v>28</v>
      </c>
      <c r="F36" s="1" t="s">
        <v>156</v>
      </c>
      <c r="G36" s="1">
        <v>3</v>
      </c>
      <c r="H36" s="1">
        <v>1</v>
      </c>
      <c r="I36" s="2">
        <v>46146</v>
      </c>
      <c r="J36" s="2">
        <v>46146</v>
      </c>
      <c r="K36" s="1" t="s">
        <v>22</v>
      </c>
      <c r="L36" s="6">
        <v>1</v>
      </c>
      <c r="M36" s="1" t="s">
        <v>10</v>
      </c>
      <c r="N36" s="1">
        <v>1</v>
      </c>
      <c r="P36" s="1" t="s">
        <v>54</v>
      </c>
      <c r="Q36" s="1" t="s">
        <v>54</v>
      </c>
      <c r="U36" t="str">
        <f>+UPPER(Tabla1[[#This Row],[MATERIALES_REQUERIDOS]])</f>
        <v/>
      </c>
      <c r="V36" t="str">
        <f>+UPPER(Tabla1[[#This Row],[EQUIPOS_USADOS]])</f>
        <v/>
      </c>
    </row>
    <row r="37" spans="1:22" ht="28.8" x14ac:dyDescent="0.3">
      <c r="A37" s="1" t="s">
        <v>157</v>
      </c>
      <c r="B37" s="1" t="s">
        <v>29</v>
      </c>
      <c r="C37" s="1" t="s">
        <v>33</v>
      </c>
      <c r="D37" s="1" t="s">
        <v>153</v>
      </c>
      <c r="E37" s="1" t="s">
        <v>28</v>
      </c>
      <c r="F37" s="1" t="s">
        <v>158</v>
      </c>
      <c r="G37" s="1">
        <v>3</v>
      </c>
      <c r="H37" s="1">
        <v>1</v>
      </c>
      <c r="I37" s="2">
        <v>46146</v>
      </c>
      <c r="J37" s="2">
        <v>46146</v>
      </c>
      <c r="K37" s="1" t="s">
        <v>22</v>
      </c>
      <c r="L37" s="6">
        <v>1</v>
      </c>
      <c r="M37" s="1" t="s">
        <v>10</v>
      </c>
      <c r="N37" s="1">
        <v>1</v>
      </c>
      <c r="P37" s="1" t="s">
        <v>54</v>
      </c>
      <c r="Q37" s="1" t="s">
        <v>54</v>
      </c>
      <c r="U37" t="str">
        <f>+UPPER(Tabla1[[#This Row],[MATERIALES_REQUERIDOS]])</f>
        <v/>
      </c>
      <c r="V37" t="str">
        <f>+UPPER(Tabla1[[#This Row],[EQUIPOS_USADOS]])</f>
        <v/>
      </c>
    </row>
    <row r="38" spans="1:22" ht="28.8" x14ac:dyDescent="0.3">
      <c r="A38" s="1" t="s">
        <v>159</v>
      </c>
      <c r="B38" s="1" t="s">
        <v>29</v>
      </c>
      <c r="C38" s="1" t="s">
        <v>33</v>
      </c>
      <c r="D38" s="1" t="s">
        <v>153</v>
      </c>
      <c r="E38" s="1" t="s">
        <v>28</v>
      </c>
      <c r="F38" s="1" t="s">
        <v>160</v>
      </c>
      <c r="G38" s="1">
        <v>3</v>
      </c>
      <c r="H38" s="1">
        <v>1</v>
      </c>
      <c r="I38" s="2">
        <v>46146</v>
      </c>
      <c r="J38" s="2">
        <v>46146</v>
      </c>
      <c r="K38" s="1" t="s">
        <v>22</v>
      </c>
      <c r="L38" s="6">
        <v>1</v>
      </c>
      <c r="M38" s="1" t="s">
        <v>10</v>
      </c>
      <c r="N38" s="1">
        <v>1</v>
      </c>
      <c r="P38" s="1" t="s">
        <v>54</v>
      </c>
      <c r="Q38" s="1" t="s">
        <v>54</v>
      </c>
      <c r="U38" t="str">
        <f>+UPPER(Tabla1[[#This Row],[MATERIALES_REQUERIDOS]])</f>
        <v/>
      </c>
      <c r="V38" t="str">
        <f>+UPPER(Tabla1[[#This Row],[EQUIPOS_USADOS]])</f>
        <v/>
      </c>
    </row>
    <row r="39" spans="1:22" ht="28.8" x14ac:dyDescent="0.3">
      <c r="A39" s="1" t="s">
        <v>161</v>
      </c>
      <c r="B39" s="1" t="s">
        <v>29</v>
      </c>
      <c r="C39" s="1" t="s">
        <v>33</v>
      </c>
      <c r="D39" s="1" t="s">
        <v>153</v>
      </c>
      <c r="E39" s="1" t="s">
        <v>28</v>
      </c>
      <c r="F39" s="1" t="s">
        <v>162</v>
      </c>
      <c r="G39" s="1">
        <v>3</v>
      </c>
      <c r="H39" s="1">
        <v>1</v>
      </c>
      <c r="I39" s="2">
        <v>46146</v>
      </c>
      <c r="J39" s="2">
        <v>46146</v>
      </c>
      <c r="K39" s="1" t="s">
        <v>22</v>
      </c>
      <c r="L39" s="6">
        <v>1</v>
      </c>
      <c r="M39" s="1" t="s">
        <v>10</v>
      </c>
      <c r="N39" s="1">
        <v>1</v>
      </c>
      <c r="P39" s="1" t="s">
        <v>54</v>
      </c>
      <c r="Q39" s="1" t="s">
        <v>54</v>
      </c>
      <c r="U39" t="str">
        <f>+UPPER(Tabla1[[#This Row],[MATERIALES_REQUERIDOS]])</f>
        <v/>
      </c>
      <c r="V39" t="str">
        <f>+UPPER(Tabla1[[#This Row],[EQUIPOS_USADOS]])</f>
        <v/>
      </c>
    </row>
    <row r="40" spans="1:22" ht="28.8" x14ac:dyDescent="0.3">
      <c r="A40" s="1" t="s">
        <v>163</v>
      </c>
      <c r="B40" s="1" t="s">
        <v>29</v>
      </c>
      <c r="C40" s="1" t="s">
        <v>33</v>
      </c>
      <c r="D40" s="1" t="s">
        <v>153</v>
      </c>
      <c r="E40" s="1" t="s">
        <v>28</v>
      </c>
      <c r="F40" s="1" t="s">
        <v>164</v>
      </c>
      <c r="G40" s="1">
        <v>3</v>
      </c>
      <c r="H40" s="1">
        <v>1</v>
      </c>
      <c r="I40" s="2">
        <v>46146</v>
      </c>
      <c r="J40" s="2">
        <v>46146</v>
      </c>
      <c r="K40" s="1" t="s">
        <v>22</v>
      </c>
      <c r="L40" s="6">
        <v>1</v>
      </c>
      <c r="M40" s="1" t="s">
        <v>10</v>
      </c>
      <c r="N40" s="1">
        <v>1</v>
      </c>
      <c r="P40" s="1" t="s">
        <v>54</v>
      </c>
      <c r="Q40" s="1" t="s">
        <v>54</v>
      </c>
      <c r="U40" t="str">
        <f>+UPPER(Tabla1[[#This Row],[MATERIALES_REQUERIDOS]])</f>
        <v/>
      </c>
      <c r="V40" t="str">
        <f>+UPPER(Tabla1[[#This Row],[EQUIPOS_USADOS]])</f>
        <v/>
      </c>
    </row>
    <row r="41" spans="1:22" ht="43.2" x14ac:dyDescent="0.3">
      <c r="A41" s="1" t="s">
        <v>165</v>
      </c>
      <c r="B41" s="1" t="s">
        <v>29</v>
      </c>
      <c r="C41" s="1" t="s">
        <v>33</v>
      </c>
      <c r="D41" s="1" t="s">
        <v>153</v>
      </c>
      <c r="E41" s="1" t="s">
        <v>28</v>
      </c>
      <c r="F41" s="1" t="s">
        <v>166</v>
      </c>
      <c r="G41" s="1">
        <v>3</v>
      </c>
      <c r="H41" s="1">
        <v>2</v>
      </c>
      <c r="I41" s="2">
        <v>46146</v>
      </c>
      <c r="J41" s="2">
        <v>46146</v>
      </c>
      <c r="K41" s="1" t="s">
        <v>22</v>
      </c>
      <c r="L41" s="6">
        <v>1</v>
      </c>
      <c r="M41" s="1" t="s">
        <v>10</v>
      </c>
      <c r="N41" s="1">
        <v>2</v>
      </c>
      <c r="P41" s="1" t="s">
        <v>54</v>
      </c>
      <c r="Q41" s="1" t="s">
        <v>54</v>
      </c>
      <c r="U41" t="str">
        <f>+UPPER(Tabla1[[#This Row],[MATERIALES_REQUERIDOS]])</f>
        <v/>
      </c>
      <c r="V41" t="str">
        <f>+UPPER(Tabla1[[#This Row],[EQUIPOS_USADOS]])</f>
        <v/>
      </c>
    </row>
    <row r="42" spans="1:22" ht="28.8" x14ac:dyDescent="0.3">
      <c r="A42" s="1" t="s">
        <v>167</v>
      </c>
      <c r="B42" s="1" t="s">
        <v>29</v>
      </c>
      <c r="C42" s="1" t="s">
        <v>33</v>
      </c>
      <c r="D42" s="1" t="s">
        <v>168</v>
      </c>
      <c r="E42" s="1" t="s">
        <v>28</v>
      </c>
      <c r="F42" s="1" t="s">
        <v>169</v>
      </c>
      <c r="G42" s="1">
        <v>3</v>
      </c>
      <c r="H42" s="1">
        <v>1</v>
      </c>
      <c r="I42" s="2">
        <v>46147</v>
      </c>
      <c r="J42" s="2">
        <v>46147</v>
      </c>
      <c r="K42" s="1" t="s">
        <v>9</v>
      </c>
      <c r="L42" s="6">
        <v>0</v>
      </c>
      <c r="M42" s="1" t="s">
        <v>10</v>
      </c>
      <c r="P42" s="1" t="s">
        <v>54</v>
      </c>
      <c r="Q42" s="1" t="s">
        <v>54</v>
      </c>
      <c r="U42" t="str">
        <f>+UPPER(Tabla1[[#This Row],[MATERIALES_REQUERIDOS]])</f>
        <v/>
      </c>
      <c r="V42" t="str">
        <f>+UPPER(Tabla1[[#This Row],[EQUIPOS_USADOS]])</f>
        <v/>
      </c>
    </row>
    <row r="43" spans="1:22" ht="28.8" x14ac:dyDescent="0.3">
      <c r="A43" s="1" t="s">
        <v>170</v>
      </c>
      <c r="B43" s="1" t="s">
        <v>29</v>
      </c>
      <c r="C43" s="1" t="s">
        <v>33</v>
      </c>
      <c r="D43" s="1" t="s">
        <v>168</v>
      </c>
      <c r="E43" s="1" t="s">
        <v>28</v>
      </c>
      <c r="F43" s="1" t="s">
        <v>171</v>
      </c>
      <c r="G43" s="1">
        <v>3</v>
      </c>
      <c r="H43" s="1">
        <v>1</v>
      </c>
      <c r="I43" s="2">
        <v>46147</v>
      </c>
      <c r="J43" s="2">
        <v>46147</v>
      </c>
      <c r="K43" s="1" t="s">
        <v>9</v>
      </c>
      <c r="L43" s="6">
        <v>0</v>
      </c>
      <c r="M43" s="1" t="s">
        <v>10</v>
      </c>
      <c r="P43" s="1" t="s">
        <v>54</v>
      </c>
      <c r="Q43" s="1" t="s">
        <v>54</v>
      </c>
      <c r="U43" t="str">
        <f>+UPPER(Tabla1[[#This Row],[MATERIALES_REQUERIDOS]])</f>
        <v/>
      </c>
      <c r="V43" t="str">
        <f>+UPPER(Tabla1[[#This Row],[EQUIPOS_USADOS]])</f>
        <v/>
      </c>
    </row>
    <row r="44" spans="1:22" ht="28.8" x14ac:dyDescent="0.3">
      <c r="A44" s="1" t="s">
        <v>172</v>
      </c>
      <c r="B44" s="1" t="s">
        <v>29</v>
      </c>
      <c r="C44" s="1" t="s">
        <v>33</v>
      </c>
      <c r="D44" s="1" t="s">
        <v>168</v>
      </c>
      <c r="E44" s="1" t="s">
        <v>28</v>
      </c>
      <c r="F44" s="1" t="s">
        <v>173</v>
      </c>
      <c r="G44" s="1">
        <v>3</v>
      </c>
      <c r="H44" s="1">
        <v>1</v>
      </c>
      <c r="I44" s="2">
        <v>46147</v>
      </c>
      <c r="J44" s="2">
        <v>46147</v>
      </c>
      <c r="K44" s="1" t="s">
        <v>9</v>
      </c>
      <c r="L44" s="6">
        <v>0</v>
      </c>
      <c r="M44" s="1" t="s">
        <v>10</v>
      </c>
      <c r="P44" s="1" t="s">
        <v>54</v>
      </c>
      <c r="Q44" s="1" t="s">
        <v>54</v>
      </c>
      <c r="U44" t="str">
        <f>+UPPER(Tabla1[[#This Row],[MATERIALES_REQUERIDOS]])</f>
        <v/>
      </c>
      <c r="V44" t="str">
        <f>+UPPER(Tabla1[[#This Row],[EQUIPOS_USADOS]])</f>
        <v/>
      </c>
    </row>
    <row r="45" spans="1:22" ht="28.8" x14ac:dyDescent="0.3">
      <c r="A45" s="1" t="s">
        <v>174</v>
      </c>
      <c r="B45" s="1" t="s">
        <v>29</v>
      </c>
      <c r="C45" s="1" t="s">
        <v>33</v>
      </c>
      <c r="D45" s="1" t="s">
        <v>168</v>
      </c>
      <c r="E45" s="1" t="s">
        <v>28</v>
      </c>
      <c r="F45" s="1" t="s">
        <v>175</v>
      </c>
      <c r="G45" s="1">
        <v>3</v>
      </c>
      <c r="H45" s="1">
        <v>1</v>
      </c>
      <c r="I45" s="2">
        <v>46147</v>
      </c>
      <c r="J45" s="2">
        <v>46147</v>
      </c>
      <c r="K45" s="1" t="s">
        <v>9</v>
      </c>
      <c r="L45" s="6">
        <v>0</v>
      </c>
      <c r="M45" s="1" t="s">
        <v>10</v>
      </c>
      <c r="P45" s="1" t="s">
        <v>54</v>
      </c>
      <c r="Q45" s="1" t="s">
        <v>54</v>
      </c>
      <c r="U45" t="str">
        <f>+UPPER(Tabla1[[#This Row],[MATERIALES_REQUERIDOS]])</f>
        <v/>
      </c>
      <c r="V45" t="str">
        <f>+UPPER(Tabla1[[#This Row],[EQUIPOS_USADOS]])</f>
        <v/>
      </c>
    </row>
    <row r="46" spans="1:22" ht="28.8" x14ac:dyDescent="0.3">
      <c r="A46" s="1" t="s">
        <v>176</v>
      </c>
      <c r="B46" s="1" t="s">
        <v>29</v>
      </c>
      <c r="C46" s="1" t="s">
        <v>33</v>
      </c>
      <c r="D46" s="1" t="s">
        <v>168</v>
      </c>
      <c r="E46" s="1" t="s">
        <v>28</v>
      </c>
      <c r="F46" s="1" t="s">
        <v>177</v>
      </c>
      <c r="G46" s="1">
        <v>3</v>
      </c>
      <c r="H46" s="1">
        <v>1</v>
      </c>
      <c r="I46" s="2">
        <v>46147</v>
      </c>
      <c r="J46" s="2">
        <v>46147</v>
      </c>
      <c r="K46" s="1" t="s">
        <v>9</v>
      </c>
      <c r="L46" s="6">
        <v>0</v>
      </c>
      <c r="M46" s="1" t="s">
        <v>10</v>
      </c>
      <c r="P46" s="1" t="s">
        <v>54</v>
      </c>
      <c r="Q46" s="1" t="s">
        <v>54</v>
      </c>
      <c r="U46" t="str">
        <f>+UPPER(Tabla1[[#This Row],[MATERIALES_REQUERIDOS]])</f>
        <v/>
      </c>
      <c r="V46" t="str">
        <f>+UPPER(Tabla1[[#This Row],[EQUIPOS_USADOS]])</f>
        <v/>
      </c>
    </row>
    <row r="47" spans="1:22" ht="28.8" x14ac:dyDescent="0.3">
      <c r="A47" s="1" t="s">
        <v>178</v>
      </c>
      <c r="B47" s="1" t="s">
        <v>29</v>
      </c>
      <c r="C47" s="1" t="s">
        <v>33</v>
      </c>
      <c r="D47" s="1" t="s">
        <v>168</v>
      </c>
      <c r="E47" s="1" t="s">
        <v>28</v>
      </c>
      <c r="F47" s="1" t="s">
        <v>179</v>
      </c>
      <c r="G47" s="1">
        <v>3</v>
      </c>
      <c r="H47" s="1">
        <v>1</v>
      </c>
      <c r="I47" s="2">
        <v>46147</v>
      </c>
      <c r="J47" s="2">
        <v>46147</v>
      </c>
      <c r="K47" s="1" t="s">
        <v>9</v>
      </c>
      <c r="L47" s="6">
        <v>0</v>
      </c>
      <c r="M47" s="1" t="s">
        <v>10</v>
      </c>
      <c r="P47" s="1" t="s">
        <v>54</v>
      </c>
      <c r="Q47" s="1" t="s">
        <v>54</v>
      </c>
      <c r="U47" t="str">
        <f>+UPPER(Tabla1[[#This Row],[MATERIALES_REQUERIDOS]])</f>
        <v/>
      </c>
      <c r="V47" t="str">
        <f>+UPPER(Tabla1[[#This Row],[EQUIPOS_USADOS]])</f>
        <v/>
      </c>
    </row>
    <row r="48" spans="1:22" ht="43.2" x14ac:dyDescent="0.3">
      <c r="A48" s="1" t="s">
        <v>180</v>
      </c>
      <c r="B48" s="1" t="s">
        <v>29</v>
      </c>
      <c r="C48" s="1" t="s">
        <v>33</v>
      </c>
      <c r="D48" s="1" t="s">
        <v>168</v>
      </c>
      <c r="E48" s="1" t="s">
        <v>28</v>
      </c>
      <c r="F48" s="1" t="s">
        <v>181</v>
      </c>
      <c r="G48" s="1">
        <v>3</v>
      </c>
      <c r="H48" s="1">
        <v>2</v>
      </c>
      <c r="I48" s="2">
        <v>46147</v>
      </c>
      <c r="J48" s="2">
        <v>46147</v>
      </c>
      <c r="K48" s="1" t="s">
        <v>9</v>
      </c>
      <c r="L48" s="6">
        <v>0</v>
      </c>
      <c r="M48" s="1" t="s">
        <v>10</v>
      </c>
      <c r="P48" s="1" t="s">
        <v>54</v>
      </c>
      <c r="Q48" s="1" t="s">
        <v>54</v>
      </c>
      <c r="U48" t="str">
        <f>+UPPER(Tabla1[[#This Row],[MATERIALES_REQUERIDOS]])</f>
        <v/>
      </c>
      <c r="V48" t="str">
        <f>+UPPER(Tabla1[[#This Row],[EQUIPOS_USADOS]])</f>
        <v/>
      </c>
    </row>
    <row r="49" spans="1:22" ht="28.8" x14ac:dyDescent="0.3">
      <c r="A49" s="1" t="s">
        <v>182</v>
      </c>
      <c r="B49" s="1" t="s">
        <v>29</v>
      </c>
      <c r="C49" s="1" t="s">
        <v>33</v>
      </c>
      <c r="D49" s="1" t="s">
        <v>183</v>
      </c>
      <c r="E49" s="1" t="s">
        <v>28</v>
      </c>
      <c r="F49" s="1" t="s">
        <v>184</v>
      </c>
      <c r="G49" s="1">
        <v>3</v>
      </c>
      <c r="H49" s="1">
        <v>1</v>
      </c>
      <c r="I49" s="2">
        <v>46148</v>
      </c>
      <c r="J49" s="2">
        <v>46148</v>
      </c>
      <c r="K49" s="1" t="s">
        <v>9</v>
      </c>
      <c r="L49" s="6">
        <v>0</v>
      </c>
      <c r="M49" s="1" t="s">
        <v>10</v>
      </c>
      <c r="P49" s="1" t="s">
        <v>54</v>
      </c>
      <c r="Q49" s="1" t="s">
        <v>54</v>
      </c>
      <c r="U49" t="str">
        <f>+UPPER(Tabla1[[#This Row],[MATERIALES_REQUERIDOS]])</f>
        <v/>
      </c>
      <c r="V49" t="str">
        <f>+UPPER(Tabla1[[#This Row],[EQUIPOS_USADOS]])</f>
        <v/>
      </c>
    </row>
    <row r="50" spans="1:22" ht="28.8" x14ac:dyDescent="0.3">
      <c r="A50" s="1" t="s">
        <v>185</v>
      </c>
      <c r="B50" s="1" t="s">
        <v>29</v>
      </c>
      <c r="C50" s="1" t="s">
        <v>33</v>
      </c>
      <c r="D50" s="1" t="s">
        <v>183</v>
      </c>
      <c r="E50" s="1" t="s">
        <v>28</v>
      </c>
      <c r="F50" s="1" t="s">
        <v>186</v>
      </c>
      <c r="G50" s="1">
        <v>3</v>
      </c>
      <c r="H50" s="1">
        <v>1</v>
      </c>
      <c r="I50" s="2">
        <v>46148</v>
      </c>
      <c r="J50" s="2">
        <v>46148</v>
      </c>
      <c r="K50" s="1" t="s">
        <v>9</v>
      </c>
      <c r="L50" s="6">
        <v>0</v>
      </c>
      <c r="M50" s="1" t="s">
        <v>10</v>
      </c>
      <c r="P50" s="1" t="s">
        <v>54</v>
      </c>
      <c r="Q50" s="1" t="s">
        <v>54</v>
      </c>
      <c r="U50" t="str">
        <f>+UPPER(Tabla1[[#This Row],[MATERIALES_REQUERIDOS]])</f>
        <v/>
      </c>
      <c r="V50" t="str">
        <f>+UPPER(Tabla1[[#This Row],[EQUIPOS_USADOS]])</f>
        <v/>
      </c>
    </row>
    <row r="51" spans="1:22" ht="28.8" x14ac:dyDescent="0.3">
      <c r="A51" s="1" t="s">
        <v>187</v>
      </c>
      <c r="B51" s="1" t="s">
        <v>29</v>
      </c>
      <c r="C51" s="1" t="s">
        <v>33</v>
      </c>
      <c r="D51" s="1" t="s">
        <v>183</v>
      </c>
      <c r="E51" s="1" t="s">
        <v>28</v>
      </c>
      <c r="F51" s="1" t="s">
        <v>188</v>
      </c>
      <c r="G51" s="1">
        <v>3</v>
      </c>
      <c r="H51" s="1">
        <v>1</v>
      </c>
      <c r="I51" s="2">
        <v>46148</v>
      </c>
      <c r="J51" s="2">
        <v>46148</v>
      </c>
      <c r="K51" s="1" t="s">
        <v>9</v>
      </c>
      <c r="L51" s="6">
        <v>0</v>
      </c>
      <c r="M51" s="1" t="s">
        <v>10</v>
      </c>
      <c r="P51" s="1" t="s">
        <v>54</v>
      </c>
      <c r="Q51" s="1" t="s">
        <v>54</v>
      </c>
      <c r="U51" t="str">
        <f>+UPPER(Tabla1[[#This Row],[MATERIALES_REQUERIDOS]])</f>
        <v/>
      </c>
      <c r="V51" t="str">
        <f>+UPPER(Tabla1[[#This Row],[EQUIPOS_USADOS]])</f>
        <v/>
      </c>
    </row>
    <row r="52" spans="1:22" ht="28.8" x14ac:dyDescent="0.3">
      <c r="A52" s="1" t="s">
        <v>189</v>
      </c>
      <c r="B52" s="1" t="s">
        <v>29</v>
      </c>
      <c r="C52" s="1" t="s">
        <v>33</v>
      </c>
      <c r="D52" s="1" t="s">
        <v>183</v>
      </c>
      <c r="E52" s="1" t="s">
        <v>28</v>
      </c>
      <c r="F52" s="1" t="s">
        <v>190</v>
      </c>
      <c r="G52" s="1">
        <v>3</v>
      </c>
      <c r="H52" s="1">
        <v>1</v>
      </c>
      <c r="I52" s="2">
        <v>46148</v>
      </c>
      <c r="J52" s="2">
        <v>46148</v>
      </c>
      <c r="K52" s="1" t="s">
        <v>9</v>
      </c>
      <c r="L52" s="6">
        <v>0</v>
      </c>
      <c r="M52" s="1" t="s">
        <v>10</v>
      </c>
      <c r="P52" s="1" t="s">
        <v>54</v>
      </c>
      <c r="Q52" s="1" t="s">
        <v>54</v>
      </c>
      <c r="U52" t="str">
        <f>+UPPER(Tabla1[[#This Row],[MATERIALES_REQUERIDOS]])</f>
        <v/>
      </c>
      <c r="V52" t="str">
        <f>+UPPER(Tabla1[[#This Row],[EQUIPOS_USADOS]])</f>
        <v/>
      </c>
    </row>
    <row r="53" spans="1:22" ht="28.8" x14ac:dyDescent="0.3">
      <c r="A53" s="1" t="s">
        <v>191</v>
      </c>
      <c r="B53" s="1" t="s">
        <v>29</v>
      </c>
      <c r="C53" s="1" t="s">
        <v>33</v>
      </c>
      <c r="D53" s="1" t="s">
        <v>183</v>
      </c>
      <c r="E53" s="1" t="s">
        <v>28</v>
      </c>
      <c r="F53" s="1" t="s">
        <v>192</v>
      </c>
      <c r="G53" s="1">
        <v>3</v>
      </c>
      <c r="H53" s="1">
        <v>1</v>
      </c>
      <c r="I53" s="2">
        <v>46148</v>
      </c>
      <c r="J53" s="2">
        <v>46148</v>
      </c>
      <c r="K53" s="1" t="s">
        <v>9</v>
      </c>
      <c r="L53" s="6">
        <v>0</v>
      </c>
      <c r="M53" s="1" t="s">
        <v>10</v>
      </c>
      <c r="P53" s="1" t="s">
        <v>54</v>
      </c>
      <c r="Q53" s="1" t="s">
        <v>54</v>
      </c>
      <c r="U53" t="str">
        <f>+UPPER(Tabla1[[#This Row],[MATERIALES_REQUERIDOS]])</f>
        <v/>
      </c>
      <c r="V53" t="str">
        <f>+UPPER(Tabla1[[#This Row],[EQUIPOS_USADOS]])</f>
        <v/>
      </c>
    </row>
    <row r="54" spans="1:22" ht="28.8" x14ac:dyDescent="0.3">
      <c r="A54" s="1" t="s">
        <v>193</v>
      </c>
      <c r="B54" s="1" t="s">
        <v>29</v>
      </c>
      <c r="C54" s="1" t="s">
        <v>33</v>
      </c>
      <c r="D54" s="1" t="s">
        <v>183</v>
      </c>
      <c r="E54" s="1" t="s">
        <v>28</v>
      </c>
      <c r="F54" s="1" t="s">
        <v>194</v>
      </c>
      <c r="G54" s="1">
        <v>3</v>
      </c>
      <c r="H54" s="1">
        <v>1</v>
      </c>
      <c r="I54" s="2">
        <v>46148</v>
      </c>
      <c r="J54" s="2">
        <v>46148</v>
      </c>
      <c r="K54" s="1" t="s">
        <v>9</v>
      </c>
      <c r="L54" s="6">
        <v>0</v>
      </c>
      <c r="M54" s="1" t="s">
        <v>10</v>
      </c>
      <c r="P54" s="1" t="s">
        <v>54</v>
      </c>
      <c r="Q54" s="1" t="s">
        <v>54</v>
      </c>
      <c r="U54" t="str">
        <f>+UPPER(Tabla1[[#This Row],[MATERIALES_REQUERIDOS]])</f>
        <v/>
      </c>
      <c r="V54" t="str">
        <f>+UPPER(Tabla1[[#This Row],[EQUIPOS_USADOS]])</f>
        <v/>
      </c>
    </row>
    <row r="55" spans="1:22" ht="43.2" x14ac:dyDescent="0.3">
      <c r="A55" s="1" t="s">
        <v>195</v>
      </c>
      <c r="B55" s="1" t="s">
        <v>29</v>
      </c>
      <c r="C55" s="1" t="s">
        <v>33</v>
      </c>
      <c r="D55" s="1" t="s">
        <v>183</v>
      </c>
      <c r="E55" s="1" t="s">
        <v>28</v>
      </c>
      <c r="F55" s="1" t="s">
        <v>196</v>
      </c>
      <c r="G55" s="1">
        <v>3</v>
      </c>
      <c r="H55" s="1">
        <v>2</v>
      </c>
      <c r="I55" s="2">
        <v>46148</v>
      </c>
      <c r="J55" s="2">
        <v>46148</v>
      </c>
      <c r="K55" s="1" t="s">
        <v>9</v>
      </c>
      <c r="L55" s="6">
        <v>0</v>
      </c>
      <c r="M55" s="1" t="s">
        <v>10</v>
      </c>
      <c r="P55" s="1" t="s">
        <v>54</v>
      </c>
      <c r="Q55" s="1" t="s">
        <v>54</v>
      </c>
      <c r="U55" t="str">
        <f>+UPPER(Tabla1[[#This Row],[MATERIALES_REQUERIDOS]])</f>
        <v/>
      </c>
      <c r="V55" t="str">
        <f>+UPPER(Tabla1[[#This Row],[EQUIPOS_USADOS]])</f>
        <v/>
      </c>
    </row>
    <row r="56" spans="1:22" ht="31.5" customHeight="1" x14ac:dyDescent="0.3">
      <c r="A56" s="1" t="s">
        <v>197</v>
      </c>
      <c r="B56" s="1" t="s">
        <v>29</v>
      </c>
      <c r="C56" s="1" t="s">
        <v>33</v>
      </c>
      <c r="D56" s="1" t="s">
        <v>198</v>
      </c>
      <c r="E56" s="1" t="s">
        <v>28</v>
      </c>
      <c r="F56" s="1" t="s">
        <v>199</v>
      </c>
      <c r="G56" s="1">
        <v>3</v>
      </c>
      <c r="H56" s="1">
        <v>8</v>
      </c>
      <c r="I56" s="2">
        <v>46149</v>
      </c>
      <c r="J56" s="2">
        <v>46149</v>
      </c>
      <c r="K56" s="1" t="s">
        <v>9</v>
      </c>
      <c r="L56" s="6">
        <v>0</v>
      </c>
      <c r="M56" s="1" t="s">
        <v>10</v>
      </c>
      <c r="P56" s="1" t="s">
        <v>54</v>
      </c>
      <c r="Q56" s="1" t="s">
        <v>54</v>
      </c>
      <c r="U56" t="str">
        <f>+UPPER(Tabla1[[#This Row],[MATERIALES_REQUERIDOS]])</f>
        <v/>
      </c>
      <c r="V56" t="str">
        <f>+UPPER(Tabla1[[#This Row],[EQUIPOS_USADOS]])</f>
        <v/>
      </c>
    </row>
    <row r="57" spans="1:22" ht="27.75" customHeight="1" x14ac:dyDescent="0.3">
      <c r="A57" s="1" t="s">
        <v>200</v>
      </c>
      <c r="B57" s="1" t="s">
        <v>29</v>
      </c>
      <c r="C57" s="1" t="s">
        <v>33</v>
      </c>
      <c r="D57" s="1" t="s">
        <v>201</v>
      </c>
      <c r="E57" s="1" t="s">
        <v>28</v>
      </c>
      <c r="F57" s="1" t="s">
        <v>202</v>
      </c>
      <c r="G57" s="1">
        <v>3</v>
      </c>
      <c r="H57" s="1">
        <v>8</v>
      </c>
      <c r="I57" s="2">
        <v>46149</v>
      </c>
      <c r="J57" s="2">
        <v>46149</v>
      </c>
      <c r="K57" s="1" t="s">
        <v>9</v>
      </c>
      <c r="L57" s="6">
        <v>0</v>
      </c>
      <c r="M57" s="1" t="s">
        <v>10</v>
      </c>
      <c r="P57" s="1" t="s">
        <v>54</v>
      </c>
      <c r="Q57" s="1" t="s">
        <v>54</v>
      </c>
      <c r="U57" t="str">
        <f>+UPPER(Tabla1[[#This Row],[MATERIALES_REQUERIDOS]])</f>
        <v/>
      </c>
      <c r="V57" t="str">
        <f>+UPPER(Tabla1[[#This Row],[EQUIPOS_USADOS]])</f>
        <v/>
      </c>
    </row>
    <row r="58" spans="1:22" ht="28.5" customHeight="1" x14ac:dyDescent="0.3">
      <c r="A58" s="1" t="s">
        <v>203</v>
      </c>
      <c r="B58" s="1" t="s">
        <v>29</v>
      </c>
      <c r="C58" s="1" t="s">
        <v>33</v>
      </c>
      <c r="D58" s="1" t="s">
        <v>183</v>
      </c>
      <c r="E58" s="1" t="s">
        <v>28</v>
      </c>
      <c r="F58" s="1" t="s">
        <v>204</v>
      </c>
      <c r="G58" s="1">
        <v>3</v>
      </c>
      <c r="H58" s="1">
        <v>8</v>
      </c>
      <c r="I58" s="2">
        <v>46150</v>
      </c>
      <c r="J58" s="2">
        <v>46150</v>
      </c>
      <c r="K58" s="1" t="s">
        <v>9</v>
      </c>
      <c r="L58" s="6">
        <v>0</v>
      </c>
      <c r="M58" s="1" t="s">
        <v>10</v>
      </c>
      <c r="P58" s="1" t="s">
        <v>54</v>
      </c>
      <c r="Q58" s="1" t="s">
        <v>54</v>
      </c>
      <c r="U58" t="str">
        <f>+UPPER(Tabla1[[#This Row],[MATERIALES_REQUERIDOS]])</f>
        <v/>
      </c>
      <c r="V58" t="str">
        <f>+UPPER(Tabla1[[#This Row],[EQUIPOS_USADOS]])</f>
        <v/>
      </c>
    </row>
    <row r="59" spans="1:22" ht="28.8" x14ac:dyDescent="0.3">
      <c r="A59" s="1" t="s">
        <v>205</v>
      </c>
      <c r="B59" s="1" t="s">
        <v>35</v>
      </c>
      <c r="C59" s="1" t="s">
        <v>30</v>
      </c>
      <c r="D59" s="1" t="s">
        <v>206</v>
      </c>
      <c r="E59" s="1" t="s">
        <v>8</v>
      </c>
      <c r="F59" s="1" t="s">
        <v>207</v>
      </c>
      <c r="G59" s="1">
        <v>2</v>
      </c>
      <c r="H59" s="1">
        <v>16</v>
      </c>
      <c r="I59" s="2">
        <v>46146</v>
      </c>
      <c r="J59" s="2">
        <v>46147</v>
      </c>
      <c r="K59" s="1" t="s">
        <v>22</v>
      </c>
      <c r="L59" s="6">
        <v>1</v>
      </c>
      <c r="M59" s="1" t="s">
        <v>10</v>
      </c>
      <c r="N59" s="1">
        <v>6</v>
      </c>
      <c r="P59" s="1" t="s">
        <v>54</v>
      </c>
      <c r="Q59" s="1" t="s">
        <v>54</v>
      </c>
      <c r="U59" t="str">
        <f>+UPPER(Tabla1[[#This Row],[MATERIALES_REQUERIDOS]])</f>
        <v/>
      </c>
      <c r="V59" t="str">
        <f>+UPPER(Tabla1[[#This Row],[EQUIPOS_USADOS]])</f>
        <v/>
      </c>
    </row>
    <row r="60" spans="1:22" ht="28.8" x14ac:dyDescent="0.3">
      <c r="A60" s="1" t="s">
        <v>208</v>
      </c>
      <c r="B60" s="1" t="s">
        <v>35</v>
      </c>
      <c r="C60" s="1" t="s">
        <v>30</v>
      </c>
      <c r="D60" s="1" t="s">
        <v>206</v>
      </c>
      <c r="E60" s="1" t="s">
        <v>8</v>
      </c>
      <c r="F60" s="1" t="s">
        <v>209</v>
      </c>
      <c r="G60" s="1">
        <v>2</v>
      </c>
      <c r="H60" s="1">
        <v>8</v>
      </c>
      <c r="I60" s="2">
        <v>46150</v>
      </c>
      <c r="J60" s="2">
        <v>46150</v>
      </c>
      <c r="K60" s="1" t="s">
        <v>9</v>
      </c>
      <c r="L60" s="6">
        <v>0</v>
      </c>
      <c r="M60" s="1" t="s">
        <v>10</v>
      </c>
      <c r="N60" s="1">
        <v>7</v>
      </c>
      <c r="P60" s="1" t="s">
        <v>54</v>
      </c>
      <c r="Q60" s="1" t="s">
        <v>54</v>
      </c>
      <c r="U60" t="str">
        <f>+UPPER(Tabla1[[#This Row],[MATERIALES_REQUERIDOS]])</f>
        <v/>
      </c>
      <c r="V60" t="str">
        <f>+UPPER(Tabla1[[#This Row],[EQUIPOS_USADOS]])</f>
        <v/>
      </c>
    </row>
    <row r="61" spans="1:22" ht="28.8" x14ac:dyDescent="0.3">
      <c r="A61" s="1" t="s">
        <v>210</v>
      </c>
      <c r="B61" s="1" t="s">
        <v>35</v>
      </c>
      <c r="C61" s="1" t="s">
        <v>30</v>
      </c>
      <c r="D61" s="1" t="s">
        <v>211</v>
      </c>
      <c r="E61" s="1" t="s">
        <v>8</v>
      </c>
      <c r="F61" s="1" t="s">
        <v>212</v>
      </c>
      <c r="G61" s="1">
        <v>2</v>
      </c>
      <c r="H61" s="1">
        <v>16</v>
      </c>
      <c r="I61" s="2">
        <v>46148</v>
      </c>
      <c r="J61" s="2">
        <v>46149</v>
      </c>
      <c r="K61" s="1" t="s">
        <v>13</v>
      </c>
      <c r="L61" s="6">
        <v>0.25</v>
      </c>
      <c r="M61" s="1" t="s">
        <v>10</v>
      </c>
      <c r="N61" s="1">
        <v>7</v>
      </c>
      <c r="P61" s="1" t="s">
        <v>54</v>
      </c>
      <c r="Q61" s="1" t="s">
        <v>54</v>
      </c>
      <c r="U61" t="str">
        <f>+UPPER(Tabla1[[#This Row],[MATERIALES_REQUERIDOS]])</f>
        <v/>
      </c>
      <c r="V61" t="str">
        <f>+UPPER(Tabla1[[#This Row],[EQUIPOS_USADOS]])</f>
        <v/>
      </c>
    </row>
    <row r="62" spans="1:22" ht="57.6" x14ac:dyDescent="0.3">
      <c r="A62" s="1" t="s">
        <v>213</v>
      </c>
      <c r="B62" s="1" t="s">
        <v>31</v>
      </c>
      <c r="C62" s="1" t="s">
        <v>33</v>
      </c>
      <c r="D62" s="1" t="s">
        <v>214</v>
      </c>
      <c r="E62" s="1" t="s">
        <v>25</v>
      </c>
      <c r="F62" s="1" t="s">
        <v>215</v>
      </c>
      <c r="G62" s="1">
        <v>3</v>
      </c>
      <c r="H62" s="1">
        <v>40</v>
      </c>
      <c r="I62" s="2">
        <v>46146</v>
      </c>
      <c r="J62" s="2">
        <v>46150</v>
      </c>
      <c r="K62" s="1" t="s">
        <v>13</v>
      </c>
      <c r="L62" s="6">
        <v>0.75</v>
      </c>
      <c r="M62" s="1" t="s">
        <v>10</v>
      </c>
      <c r="N62" s="1">
        <v>8</v>
      </c>
      <c r="P62" s="1" t="s">
        <v>216</v>
      </c>
      <c r="Q62" s="1" t="s">
        <v>217</v>
      </c>
      <c r="R62" s="1" t="s">
        <v>218</v>
      </c>
      <c r="U62" t="str">
        <f>+UPPER(Tabla1[[#This Row],[MATERIALES_REQUERIDOS]])</f>
        <v>ELECTRODOS 6010 18", ELECTRODOS 718 1/8", DISCO DE CORTE 7" Y 4", DISCO DE ESMERIL 7" Y 4", CEPILLO DE ALAMBRE</v>
      </c>
      <c r="V62" t="str">
        <f>+UPPER(Tabla1[[#This Row],[EQUIPOS_USADOS]])</f>
        <v>MAQ SOLDAR, OXICORTE, ESMERIL 7" Y 4"</v>
      </c>
    </row>
    <row r="63" spans="1:22" ht="57.6" x14ac:dyDescent="0.3">
      <c r="A63" s="1" t="s">
        <v>219</v>
      </c>
      <c r="B63" s="1" t="s">
        <v>31</v>
      </c>
      <c r="C63" s="1" t="s">
        <v>33</v>
      </c>
      <c r="D63" s="1" t="s">
        <v>214</v>
      </c>
      <c r="E63" s="1" t="s">
        <v>25</v>
      </c>
      <c r="F63" s="1" t="s">
        <v>220</v>
      </c>
      <c r="G63" s="1">
        <v>2</v>
      </c>
      <c r="H63" s="1">
        <v>40</v>
      </c>
      <c r="I63" s="2">
        <v>46146</v>
      </c>
      <c r="J63" s="2">
        <v>46150</v>
      </c>
      <c r="K63" s="1" t="s">
        <v>13</v>
      </c>
      <c r="L63" s="6">
        <v>0.55000000000000004</v>
      </c>
      <c r="M63" s="1" t="s">
        <v>10</v>
      </c>
      <c r="N63" s="1">
        <v>8</v>
      </c>
      <c r="P63" s="1" t="s">
        <v>216</v>
      </c>
      <c r="Q63" s="1" t="s">
        <v>217</v>
      </c>
      <c r="U63" t="str">
        <f>+UPPER(Tabla1[[#This Row],[MATERIALES_REQUERIDOS]])</f>
        <v>ELECTRODOS 6010 18", ELECTRODOS 718 1/8", DISCO DE CORTE 7" Y 4", DISCO DE ESMERIL 7" Y 4", CEPILLO DE ALAMBRE</v>
      </c>
      <c r="V63" t="str">
        <f>+UPPER(Tabla1[[#This Row],[EQUIPOS_USADOS]])</f>
        <v>MAQ SOLDAR, OXICORTE, ESMERIL 7" Y 4"</v>
      </c>
    </row>
    <row r="64" spans="1:22" ht="57.6" x14ac:dyDescent="0.3">
      <c r="A64" s="1" t="s">
        <v>221</v>
      </c>
      <c r="B64" s="1" t="s">
        <v>31</v>
      </c>
      <c r="C64" s="1" t="s">
        <v>33</v>
      </c>
      <c r="D64" s="1" t="s">
        <v>222</v>
      </c>
      <c r="E64" s="1" t="s">
        <v>25</v>
      </c>
      <c r="F64" s="1" t="s">
        <v>223</v>
      </c>
      <c r="G64" s="1">
        <v>1</v>
      </c>
      <c r="H64" s="1">
        <v>40</v>
      </c>
      <c r="I64" s="2">
        <v>46146</v>
      </c>
      <c r="J64" s="2">
        <v>46150</v>
      </c>
      <c r="K64" s="1" t="s">
        <v>13</v>
      </c>
      <c r="L64" s="6">
        <v>0.83</v>
      </c>
      <c r="M64" s="1" t="s">
        <v>10</v>
      </c>
      <c r="N64" s="1">
        <v>8</v>
      </c>
      <c r="P64" s="1" t="s">
        <v>216</v>
      </c>
      <c r="Q64" s="1" t="s">
        <v>217</v>
      </c>
      <c r="U64" t="str">
        <f>+UPPER(Tabla1[[#This Row],[MATERIALES_REQUERIDOS]])</f>
        <v>ELECTRODOS 6010 18", ELECTRODOS 718 1/8", DISCO DE CORTE 7" Y 4", DISCO DE ESMERIL 7" Y 4", CEPILLO DE ALAMBRE</v>
      </c>
      <c r="V64" t="str">
        <f>+UPPER(Tabla1[[#This Row],[EQUIPOS_USADOS]])</f>
        <v>MAQ SOLDAR, OXICORTE, ESMERIL 7" Y 4"</v>
      </c>
    </row>
    <row r="65" spans="1:22" ht="57.6" x14ac:dyDescent="0.3">
      <c r="A65" s="1" t="s">
        <v>224</v>
      </c>
      <c r="B65" s="1" t="s">
        <v>31</v>
      </c>
      <c r="C65" s="1" t="s">
        <v>33</v>
      </c>
      <c r="D65" s="1" t="s">
        <v>225</v>
      </c>
      <c r="E65" s="1" t="s">
        <v>25</v>
      </c>
      <c r="F65" s="1" t="s">
        <v>226</v>
      </c>
      <c r="G65" s="1">
        <v>1</v>
      </c>
      <c r="H65" s="1">
        <v>40</v>
      </c>
      <c r="I65" s="2">
        <v>46146</v>
      </c>
      <c r="J65" s="2">
        <v>46150</v>
      </c>
      <c r="K65" s="1" t="s">
        <v>13</v>
      </c>
      <c r="L65" s="6">
        <v>0.45</v>
      </c>
      <c r="M65" s="1" t="s">
        <v>10</v>
      </c>
      <c r="O65" s="1" t="s">
        <v>19</v>
      </c>
      <c r="P65" s="1" t="s">
        <v>216</v>
      </c>
      <c r="Q65" s="1" t="s">
        <v>217</v>
      </c>
      <c r="R65" s="1" t="s">
        <v>227</v>
      </c>
      <c r="U65" t="str">
        <f>+UPPER(Tabla1[[#This Row],[MATERIALES_REQUERIDOS]])</f>
        <v>ELECTRODOS 6010 18", ELECTRODOS 718 1/8", DISCO DE CORTE 7" Y 4", DISCO DE ESMERIL 7" Y 4", CEPILLO DE ALAMBRE</v>
      </c>
      <c r="V65" t="str">
        <f>+UPPER(Tabla1[[#This Row],[EQUIPOS_USADOS]])</f>
        <v>MAQ SOLDAR, OXICORTE, ESMERIL 7" Y 4"</v>
      </c>
    </row>
    <row r="66" spans="1:22" ht="57.6" x14ac:dyDescent="0.3">
      <c r="A66" s="1" t="s">
        <v>228</v>
      </c>
      <c r="B66" s="1" t="s">
        <v>31</v>
      </c>
      <c r="C66" s="1" t="s">
        <v>33</v>
      </c>
      <c r="D66" s="1" t="s">
        <v>229</v>
      </c>
      <c r="E66" s="1" t="s">
        <v>25</v>
      </c>
      <c r="F66" s="1" t="s">
        <v>230</v>
      </c>
      <c r="G66" s="1">
        <v>2</v>
      </c>
      <c r="H66" s="1">
        <v>40</v>
      </c>
      <c r="I66" s="2">
        <v>46146</v>
      </c>
      <c r="J66" s="2">
        <v>46150</v>
      </c>
      <c r="K66" s="1" t="s">
        <v>13</v>
      </c>
      <c r="L66" s="6">
        <v>0.3</v>
      </c>
      <c r="M66" s="1" t="s">
        <v>10</v>
      </c>
      <c r="O66" s="1" t="s">
        <v>19</v>
      </c>
      <c r="P66" s="1" t="s">
        <v>216</v>
      </c>
      <c r="Q66" s="1" t="s">
        <v>217</v>
      </c>
      <c r="R66" s="1" t="s">
        <v>231</v>
      </c>
      <c r="U66" t="str">
        <f>+UPPER(Tabla1[[#This Row],[MATERIALES_REQUERIDOS]])</f>
        <v>ELECTRODOS 6010 18", ELECTRODOS 718 1/8", DISCO DE CORTE 7" Y 4", DISCO DE ESMERIL 7" Y 4", CEPILLO DE ALAMBRE</v>
      </c>
      <c r="V66" t="str">
        <f>+UPPER(Tabla1[[#This Row],[EQUIPOS_USADOS]])</f>
        <v>MAQ SOLDAR, OXICORTE, ESMERIL 7" Y 4"</v>
      </c>
    </row>
    <row r="67" spans="1:22" ht="70.5" customHeight="1" x14ac:dyDescent="0.3">
      <c r="A67" s="1" t="s">
        <v>232</v>
      </c>
      <c r="B67" s="1" t="s">
        <v>31</v>
      </c>
      <c r="C67" s="1" t="s">
        <v>30</v>
      </c>
      <c r="D67" s="1" t="s">
        <v>30</v>
      </c>
      <c r="E67" s="1" t="s">
        <v>25</v>
      </c>
      <c r="F67" s="1" t="s">
        <v>233</v>
      </c>
      <c r="G67" s="1">
        <v>1</v>
      </c>
      <c r="H67" s="1">
        <v>40</v>
      </c>
      <c r="I67" s="2">
        <v>46146</v>
      </c>
      <c r="J67" s="2">
        <v>46150</v>
      </c>
      <c r="K67" s="1" t="s">
        <v>13</v>
      </c>
      <c r="L67" s="6">
        <v>0.6</v>
      </c>
      <c r="M67" s="1" t="s">
        <v>10</v>
      </c>
      <c r="N67" s="1">
        <v>8</v>
      </c>
      <c r="P67" s="1" t="s">
        <v>216</v>
      </c>
      <c r="Q67" s="1" t="s">
        <v>217</v>
      </c>
      <c r="U67" t="str">
        <f>+UPPER(Tabla1[[#This Row],[MATERIALES_REQUERIDOS]])</f>
        <v>ELECTRODOS 6010 18", ELECTRODOS 718 1/8", DISCO DE CORTE 7" Y 4", DISCO DE ESMERIL 7" Y 4", CEPILLO DE ALAMBRE</v>
      </c>
      <c r="V67" t="str">
        <f>+UPPER(Tabla1[[#This Row],[EQUIPOS_USADOS]])</f>
        <v>MAQ SOLDAR, OXICORTE, ESMERIL 7" Y 4"</v>
      </c>
    </row>
    <row r="68" spans="1:22" ht="57.75" customHeight="1" x14ac:dyDescent="0.3">
      <c r="A68" s="1" t="s">
        <v>234</v>
      </c>
      <c r="B68" s="1" t="s">
        <v>31</v>
      </c>
      <c r="C68" s="1" t="s">
        <v>12</v>
      </c>
      <c r="D68" s="1" t="s">
        <v>12</v>
      </c>
      <c r="E68" s="1" t="s">
        <v>25</v>
      </c>
      <c r="F68" s="1" t="s">
        <v>235</v>
      </c>
      <c r="G68" s="1">
        <v>1</v>
      </c>
      <c r="H68" s="1">
        <v>40</v>
      </c>
      <c r="I68" s="2">
        <v>46146</v>
      </c>
      <c r="J68" s="2">
        <v>46150</v>
      </c>
      <c r="K68" s="1" t="s">
        <v>13</v>
      </c>
      <c r="L68" s="6">
        <v>0.6</v>
      </c>
      <c r="M68" s="1" t="s">
        <v>10</v>
      </c>
      <c r="N68" s="1">
        <v>8</v>
      </c>
      <c r="P68" s="1" t="s">
        <v>216</v>
      </c>
      <c r="Q68" s="1" t="s">
        <v>217</v>
      </c>
      <c r="U68" t="str">
        <f>+UPPER(Tabla1[[#This Row],[MATERIALES_REQUERIDOS]])</f>
        <v>ELECTRODOS 6010 18", ELECTRODOS 718 1/8", DISCO DE CORTE 7" Y 4", DISCO DE ESMERIL 7" Y 4", CEPILLO DE ALAMBRE</v>
      </c>
      <c r="V68" t="str">
        <f>+UPPER(Tabla1[[#This Row],[EQUIPOS_USADOS]])</f>
        <v>MAQ SOLDAR, OXICORTE, ESMERIL 7" Y 4"</v>
      </c>
    </row>
    <row r="69" spans="1:22" ht="33" customHeight="1" x14ac:dyDescent="0.3">
      <c r="A69" s="1" t="s">
        <v>236</v>
      </c>
      <c r="B69" s="1" t="s">
        <v>26</v>
      </c>
      <c r="C69" s="1" t="s">
        <v>30</v>
      </c>
      <c r="D69" s="1" t="s">
        <v>237</v>
      </c>
      <c r="E69" s="1" t="s">
        <v>24</v>
      </c>
      <c r="F69" s="1" t="s">
        <v>238</v>
      </c>
      <c r="G69" s="1">
        <v>2</v>
      </c>
      <c r="H69" s="1">
        <v>16</v>
      </c>
      <c r="I69" s="2">
        <v>46146</v>
      </c>
      <c r="J69" s="2">
        <v>46146</v>
      </c>
      <c r="K69" s="1" t="s">
        <v>18</v>
      </c>
      <c r="L69" s="6">
        <v>0</v>
      </c>
      <c r="M69" s="1" t="s">
        <v>10</v>
      </c>
      <c r="P69" s="1" t="s">
        <v>239</v>
      </c>
      <c r="Q69" s="1" t="s">
        <v>240</v>
      </c>
      <c r="U69" t="str">
        <f>+UPPER(Tabla1[[#This Row],[MATERIALES_REQUERIDOS]])</f>
        <v>GEL PARA ULTRA SONIDO
DISCO DE DESBASTE DE 4 1/2"
CUADERNO
LAPIZ
TIZA DE HERRERIA</v>
      </c>
      <c r="V69" t="str">
        <f>+UPPER(Tabla1[[#This Row],[EQUIPOS_USADOS]])</f>
        <v xml:space="preserve">MEDIDOR DE ESPESORES KRAUTKRAMER
MEDIDOR DE ESPESORES UNIT
ESMERIL INALAMBRICO
</v>
      </c>
    </row>
    <row r="70" spans="1:22" ht="33" customHeight="1" x14ac:dyDescent="0.3">
      <c r="A70" s="1" t="s">
        <v>241</v>
      </c>
      <c r="B70" s="1" t="s">
        <v>26</v>
      </c>
      <c r="C70" s="1" t="s">
        <v>30</v>
      </c>
      <c r="D70" s="1" t="s">
        <v>237</v>
      </c>
      <c r="E70" s="1" t="s">
        <v>24</v>
      </c>
      <c r="F70" s="1" t="s">
        <v>242</v>
      </c>
      <c r="G70" s="1">
        <v>1</v>
      </c>
      <c r="H70" s="1">
        <v>3</v>
      </c>
      <c r="I70" s="2">
        <v>46149</v>
      </c>
      <c r="J70" s="2">
        <v>46150</v>
      </c>
      <c r="K70" s="1" t="s">
        <v>9</v>
      </c>
      <c r="L70" s="6">
        <v>0</v>
      </c>
      <c r="M70" s="1" t="s">
        <v>10</v>
      </c>
      <c r="P70" s="1" t="s">
        <v>54</v>
      </c>
      <c r="Q70" s="1" t="s">
        <v>243</v>
      </c>
      <c r="U70" t="str">
        <f>+UPPER(Tabla1[[#This Row],[MATERIALES_REQUERIDOS]])</f>
        <v/>
      </c>
      <c r="V70" t="str">
        <f>+UPPER(Tabla1[[#This Row],[EQUIPOS_USADOS]])</f>
        <v>LAPTOP</v>
      </c>
    </row>
    <row r="71" spans="1:22" ht="115.2" x14ac:dyDescent="0.3">
      <c r="A71" s="1" t="s">
        <v>244</v>
      </c>
      <c r="B71" s="1" t="s">
        <v>26</v>
      </c>
      <c r="C71" s="1" t="s">
        <v>30</v>
      </c>
      <c r="D71" s="1" t="s">
        <v>82</v>
      </c>
      <c r="E71" s="1" t="s">
        <v>24</v>
      </c>
      <c r="F71" s="1" t="s">
        <v>245</v>
      </c>
      <c r="G71" s="1">
        <v>2</v>
      </c>
      <c r="H71" s="1">
        <v>3</v>
      </c>
      <c r="I71" s="2">
        <v>46147</v>
      </c>
      <c r="J71" s="2">
        <v>46147</v>
      </c>
      <c r="K71" s="1" t="s">
        <v>9</v>
      </c>
      <c r="L71" s="6">
        <v>0</v>
      </c>
      <c r="M71" s="1" t="s">
        <v>10</v>
      </c>
      <c r="P71" s="1" t="s">
        <v>239</v>
      </c>
      <c r="Q71" s="1" t="s">
        <v>240</v>
      </c>
      <c r="U71" t="str">
        <f>+UPPER(Tabla1[[#This Row],[MATERIALES_REQUERIDOS]])</f>
        <v>GEL PARA ULTRA SONIDO
DISCO DE DESBASTE DE 4 1/2"
CUADERNO
LAPIZ
TIZA DE HERRERIA</v>
      </c>
      <c r="V71" t="str">
        <f>+UPPER(Tabla1[[#This Row],[EQUIPOS_USADOS]])</f>
        <v xml:space="preserve">MEDIDOR DE ESPESORES KRAUTKRAMER
MEDIDOR DE ESPESORES UNIT
ESMERIL INALAMBRICO
</v>
      </c>
    </row>
    <row r="72" spans="1:22" ht="43.2" x14ac:dyDescent="0.3">
      <c r="A72" s="1" t="s">
        <v>246</v>
      </c>
      <c r="B72" s="1" t="s">
        <v>26</v>
      </c>
      <c r="C72" s="1" t="s">
        <v>30</v>
      </c>
      <c r="D72" s="1" t="s">
        <v>82</v>
      </c>
      <c r="E72" s="1" t="s">
        <v>24</v>
      </c>
      <c r="F72" s="1" t="s">
        <v>247</v>
      </c>
      <c r="G72" s="1">
        <v>1</v>
      </c>
      <c r="H72" s="1">
        <v>3</v>
      </c>
      <c r="I72" s="2">
        <v>46149</v>
      </c>
      <c r="J72" s="2">
        <v>46150</v>
      </c>
      <c r="K72" s="1" t="s">
        <v>9</v>
      </c>
      <c r="L72" s="6">
        <v>0</v>
      </c>
      <c r="M72" s="1" t="s">
        <v>10</v>
      </c>
      <c r="P72" s="1" t="s">
        <v>54</v>
      </c>
      <c r="Q72" s="1" t="s">
        <v>243</v>
      </c>
      <c r="U72" t="str">
        <f>+UPPER(Tabla1[[#This Row],[MATERIALES_REQUERIDOS]])</f>
        <v/>
      </c>
      <c r="V72" t="str">
        <f>+UPPER(Tabla1[[#This Row],[EQUIPOS_USADOS]])</f>
        <v>LAPTOP</v>
      </c>
    </row>
    <row r="73" spans="1:22" ht="115.2" x14ac:dyDescent="0.3">
      <c r="A73" s="1" t="s">
        <v>248</v>
      </c>
      <c r="B73" s="1" t="s">
        <v>26</v>
      </c>
      <c r="C73" s="1" t="s">
        <v>30</v>
      </c>
      <c r="D73" s="1" t="s">
        <v>249</v>
      </c>
      <c r="E73" s="1" t="s">
        <v>24</v>
      </c>
      <c r="F73" s="1" t="s">
        <v>250</v>
      </c>
      <c r="G73" s="1">
        <v>2</v>
      </c>
      <c r="H73" s="1">
        <v>4</v>
      </c>
      <c r="I73" s="2">
        <v>46147</v>
      </c>
      <c r="J73" s="2">
        <v>46147</v>
      </c>
      <c r="K73" s="1" t="s">
        <v>9</v>
      </c>
      <c r="L73" s="6">
        <v>1</v>
      </c>
      <c r="M73" s="1" t="s">
        <v>10</v>
      </c>
      <c r="N73" s="1">
        <v>4</v>
      </c>
      <c r="P73" s="1" t="s">
        <v>239</v>
      </c>
      <c r="Q73" s="1" t="s">
        <v>240</v>
      </c>
      <c r="U73" t="str">
        <f>+UPPER(Tabla1[[#This Row],[MATERIALES_REQUERIDOS]])</f>
        <v>GEL PARA ULTRA SONIDO
DISCO DE DESBASTE DE 4 1/2"
CUADERNO
LAPIZ
TIZA DE HERRERIA</v>
      </c>
      <c r="V73" t="str">
        <f>+UPPER(Tabla1[[#This Row],[EQUIPOS_USADOS]])</f>
        <v xml:space="preserve">MEDIDOR DE ESPESORES KRAUTKRAMER
MEDIDOR DE ESPESORES UNIT
ESMERIL INALAMBRICO
</v>
      </c>
    </row>
    <row r="74" spans="1:22" ht="43.2" x14ac:dyDescent="0.3">
      <c r="A74" s="1" t="s">
        <v>251</v>
      </c>
      <c r="B74" s="1" t="s">
        <v>26</v>
      </c>
      <c r="C74" s="1" t="s">
        <v>30</v>
      </c>
      <c r="D74" s="1" t="s">
        <v>249</v>
      </c>
      <c r="E74" s="1" t="s">
        <v>24</v>
      </c>
      <c r="F74" s="1" t="s">
        <v>252</v>
      </c>
      <c r="G74" s="1">
        <v>1</v>
      </c>
      <c r="H74" s="1">
        <v>3</v>
      </c>
      <c r="I74" s="2">
        <v>46149</v>
      </c>
      <c r="J74" s="2">
        <v>46150</v>
      </c>
      <c r="K74" s="1" t="s">
        <v>9</v>
      </c>
      <c r="L74" s="6">
        <v>0</v>
      </c>
      <c r="M74" s="1" t="s">
        <v>10</v>
      </c>
      <c r="P74" s="1" t="s">
        <v>54</v>
      </c>
      <c r="Q74" s="1" t="s">
        <v>54</v>
      </c>
      <c r="U74" t="str">
        <f>+UPPER(Tabla1[[#This Row],[MATERIALES_REQUERIDOS]])</f>
        <v/>
      </c>
      <c r="V74" t="str">
        <f>+UPPER(Tabla1[[#This Row],[EQUIPOS_USADOS]])</f>
        <v/>
      </c>
    </row>
    <row r="75" spans="1:22" ht="115.2" x14ac:dyDescent="0.3">
      <c r="A75" s="1" t="s">
        <v>253</v>
      </c>
      <c r="B75" s="1" t="s">
        <v>26</v>
      </c>
      <c r="C75" s="1" t="s">
        <v>12</v>
      </c>
      <c r="D75" s="1" t="s">
        <v>254</v>
      </c>
      <c r="E75" s="1" t="s">
        <v>24</v>
      </c>
      <c r="F75" s="1" t="s">
        <v>255</v>
      </c>
      <c r="G75" s="1">
        <v>2</v>
      </c>
      <c r="H75" s="1">
        <v>8</v>
      </c>
      <c r="I75" s="2">
        <v>46148</v>
      </c>
      <c r="J75" s="2">
        <v>46148</v>
      </c>
      <c r="K75" s="1" t="s">
        <v>9</v>
      </c>
      <c r="L75" s="6">
        <v>0</v>
      </c>
      <c r="M75" s="1" t="s">
        <v>10</v>
      </c>
      <c r="P75" s="1" t="s">
        <v>239</v>
      </c>
      <c r="Q75" s="1" t="s">
        <v>256</v>
      </c>
      <c r="U75" t="str">
        <f>+UPPER(Tabla1[[#This Row],[MATERIALES_REQUERIDOS]])</f>
        <v>GEL PARA ULTRA SONIDO
DISCO DE DESBASTE DE 4 1/2"
CUADERNO
LAPIZ
TIZA DE HERRERIA</v>
      </c>
      <c r="V75" t="str">
        <f>+UPPER(Tabla1[[#This Row],[EQUIPOS_USADOS]])</f>
        <v>MEDIDOR DE ESPESORES KRAUTKRAMER
MEDIDOR DE ESPESORES UNIT
ESMERIL INALAMBRICO
ARNES Y ESLINGA</v>
      </c>
    </row>
    <row r="76" spans="1:22" ht="43.2" x14ac:dyDescent="0.3">
      <c r="A76" s="1" t="s">
        <v>257</v>
      </c>
      <c r="B76" s="1" t="s">
        <v>26</v>
      </c>
      <c r="C76" s="1" t="s">
        <v>12</v>
      </c>
      <c r="D76" s="1" t="s">
        <v>254</v>
      </c>
      <c r="E76" s="1" t="s">
        <v>24</v>
      </c>
      <c r="F76" s="1" t="s">
        <v>258</v>
      </c>
      <c r="G76" s="1">
        <v>1</v>
      </c>
      <c r="H76" s="1">
        <v>3</v>
      </c>
      <c r="I76" s="2">
        <v>46149</v>
      </c>
      <c r="J76" s="2">
        <v>46150</v>
      </c>
      <c r="K76" s="1" t="s">
        <v>9</v>
      </c>
      <c r="L76" s="6">
        <v>0</v>
      </c>
      <c r="M76" s="1" t="s">
        <v>10</v>
      </c>
      <c r="P76" s="1" t="s">
        <v>54</v>
      </c>
      <c r="Q76" s="1" t="s">
        <v>243</v>
      </c>
      <c r="U76" t="str">
        <f>+UPPER(Tabla1[[#This Row],[MATERIALES_REQUERIDOS]])</f>
        <v/>
      </c>
      <c r="V76" t="str">
        <f>+UPPER(Tabla1[[#This Row],[EQUIPOS_USADOS]])</f>
        <v>LAPTOP</v>
      </c>
    </row>
    <row r="77" spans="1:22" ht="57.6" x14ac:dyDescent="0.3">
      <c r="A77" s="1" t="s">
        <v>259</v>
      </c>
      <c r="B77" s="1" t="s">
        <v>26</v>
      </c>
      <c r="C77" s="1" t="s">
        <v>12</v>
      </c>
      <c r="D77" s="1" t="s">
        <v>260</v>
      </c>
      <c r="E77" s="1" t="s">
        <v>24</v>
      </c>
      <c r="F77" s="1" t="s">
        <v>261</v>
      </c>
      <c r="G77" s="1">
        <v>1</v>
      </c>
      <c r="H77" s="1">
        <v>2</v>
      </c>
      <c r="I77" s="2">
        <v>46147</v>
      </c>
      <c r="J77" s="2">
        <v>46147</v>
      </c>
      <c r="K77" s="1" t="s">
        <v>9</v>
      </c>
      <c r="L77" s="6">
        <v>1</v>
      </c>
      <c r="M77" s="1" t="s">
        <v>10</v>
      </c>
      <c r="N77" s="1">
        <v>2</v>
      </c>
      <c r="P77" s="1" t="s">
        <v>262</v>
      </c>
      <c r="Q77" s="1" t="s">
        <v>263</v>
      </c>
      <c r="U77" t="str">
        <f>+UPPER(Tabla1[[#This Row],[MATERIALES_REQUERIDOS]])</f>
        <v xml:space="preserve">KIT DE TINTES PENETRANTES
TINNER
TRAPOS ESTERILIZADOS 
</v>
      </c>
      <c r="V77" t="str">
        <f>+UPPER(Tabla1[[#This Row],[EQUIPOS_USADOS]])</f>
        <v>CALIBRADOR</v>
      </c>
    </row>
    <row r="78" spans="1:22" ht="43.2" x14ac:dyDescent="0.3">
      <c r="A78" s="1" t="s">
        <v>264</v>
      </c>
      <c r="B78" s="1" t="s">
        <v>26</v>
      </c>
      <c r="C78" s="1" t="s">
        <v>12</v>
      </c>
      <c r="D78" s="1" t="s">
        <v>260</v>
      </c>
      <c r="E78" s="1" t="s">
        <v>24</v>
      </c>
      <c r="F78" s="1" t="s">
        <v>265</v>
      </c>
      <c r="G78" s="1">
        <v>1</v>
      </c>
      <c r="H78" s="1">
        <v>8</v>
      </c>
      <c r="I78" s="2">
        <v>46149</v>
      </c>
      <c r="J78" s="2">
        <v>46150</v>
      </c>
      <c r="K78" s="1" t="s">
        <v>9</v>
      </c>
      <c r="L78" s="6">
        <v>0</v>
      </c>
      <c r="M78" s="1" t="s">
        <v>10</v>
      </c>
      <c r="P78" s="1" t="s">
        <v>54</v>
      </c>
      <c r="Q78" s="1" t="s">
        <v>243</v>
      </c>
      <c r="U78" t="str">
        <f>+UPPER(Tabla1[[#This Row],[MATERIALES_REQUERIDOS]])</f>
        <v/>
      </c>
      <c r="V78" t="str">
        <f>+UPPER(Tabla1[[#This Row],[EQUIPOS_USADOS]])</f>
        <v>LAPTOP</v>
      </c>
    </row>
    <row r="79" spans="1:22" ht="43.2" x14ac:dyDescent="0.3">
      <c r="A79" s="1" t="s">
        <v>266</v>
      </c>
      <c r="B79" s="1" t="s">
        <v>26</v>
      </c>
      <c r="C79" s="1" t="s">
        <v>33</v>
      </c>
      <c r="D79" s="1" t="s">
        <v>267</v>
      </c>
      <c r="E79" s="1" t="s">
        <v>24</v>
      </c>
      <c r="F79" s="1" t="s">
        <v>268</v>
      </c>
      <c r="G79" s="1">
        <v>1</v>
      </c>
      <c r="H79" s="1">
        <v>2</v>
      </c>
      <c r="I79" s="2">
        <v>46147</v>
      </c>
      <c r="J79" s="2">
        <v>46147</v>
      </c>
      <c r="K79" s="1" t="s">
        <v>9</v>
      </c>
      <c r="L79" s="6">
        <v>0</v>
      </c>
      <c r="M79" s="1" t="s">
        <v>10</v>
      </c>
      <c r="O79" s="1" t="s">
        <v>19</v>
      </c>
      <c r="P79" s="1" t="s">
        <v>54</v>
      </c>
      <c r="Q79" s="1" t="s">
        <v>54</v>
      </c>
      <c r="U79" t="str">
        <f>+UPPER(Tabla1[[#This Row],[MATERIALES_REQUERIDOS]])</f>
        <v/>
      </c>
      <c r="V79" t="str">
        <f>+UPPER(Tabla1[[#This Row],[EQUIPOS_USADOS]])</f>
        <v/>
      </c>
    </row>
    <row r="80" spans="1:22" ht="43.2" x14ac:dyDescent="0.3">
      <c r="A80" s="1" t="s">
        <v>269</v>
      </c>
      <c r="B80" s="1" t="s">
        <v>26</v>
      </c>
      <c r="C80" s="1" t="s">
        <v>33</v>
      </c>
      <c r="D80" s="1" t="s">
        <v>267</v>
      </c>
      <c r="E80" s="1" t="s">
        <v>24</v>
      </c>
      <c r="F80" s="1" t="s">
        <v>270</v>
      </c>
      <c r="G80" s="1">
        <v>1</v>
      </c>
      <c r="H80" s="1">
        <v>8</v>
      </c>
      <c r="I80" s="2">
        <v>46149</v>
      </c>
      <c r="J80" s="2">
        <v>46150</v>
      </c>
      <c r="K80" s="1" t="s">
        <v>9</v>
      </c>
      <c r="L80" s="6">
        <v>0</v>
      </c>
      <c r="M80" s="1" t="s">
        <v>10</v>
      </c>
      <c r="P80" s="1" t="s">
        <v>54</v>
      </c>
      <c r="Q80" s="1" t="s">
        <v>54</v>
      </c>
      <c r="U80" t="str">
        <f>+UPPER(Tabla1[[#This Row],[MATERIALES_REQUERIDOS]])</f>
        <v/>
      </c>
      <c r="V80" t="str">
        <f>+UPPER(Tabla1[[#This Row],[EQUIPOS_USADOS]])</f>
        <v/>
      </c>
    </row>
    <row r="81" spans="1:22" ht="43.2" x14ac:dyDescent="0.3">
      <c r="A81" s="1" t="s">
        <v>271</v>
      </c>
      <c r="B81" s="1" t="s">
        <v>26</v>
      </c>
      <c r="C81" s="1" t="s">
        <v>33</v>
      </c>
      <c r="D81" s="1" t="s">
        <v>272</v>
      </c>
      <c r="E81" s="1" t="s">
        <v>24</v>
      </c>
      <c r="F81" s="1" t="s">
        <v>273</v>
      </c>
      <c r="G81" s="1">
        <v>1</v>
      </c>
      <c r="H81" s="1">
        <v>2</v>
      </c>
      <c r="I81" s="2">
        <v>46147</v>
      </c>
      <c r="J81" s="2">
        <v>46147</v>
      </c>
      <c r="K81" s="1" t="s">
        <v>9</v>
      </c>
      <c r="L81" s="6">
        <v>0</v>
      </c>
      <c r="M81" s="1" t="s">
        <v>10</v>
      </c>
      <c r="O81" s="1" t="s">
        <v>19</v>
      </c>
      <c r="P81" s="1" t="s">
        <v>54</v>
      </c>
      <c r="Q81" s="1" t="s">
        <v>54</v>
      </c>
      <c r="U81" t="str">
        <f>+UPPER(Tabla1[[#This Row],[MATERIALES_REQUERIDOS]])</f>
        <v/>
      </c>
      <c r="V81" t="str">
        <f>+UPPER(Tabla1[[#This Row],[EQUIPOS_USADOS]])</f>
        <v/>
      </c>
    </row>
    <row r="82" spans="1:22" ht="43.2" x14ac:dyDescent="0.3">
      <c r="A82" s="1" t="s">
        <v>274</v>
      </c>
      <c r="B82" s="1" t="s">
        <v>26</v>
      </c>
      <c r="C82" s="1" t="s">
        <v>33</v>
      </c>
      <c r="D82" s="1" t="s">
        <v>272</v>
      </c>
      <c r="E82" s="1" t="s">
        <v>24</v>
      </c>
      <c r="F82" s="1" t="s">
        <v>275</v>
      </c>
      <c r="G82" s="1">
        <v>1</v>
      </c>
      <c r="H82" s="1">
        <v>8</v>
      </c>
      <c r="I82" s="2">
        <v>46149</v>
      </c>
      <c r="J82" s="2">
        <v>46150</v>
      </c>
      <c r="K82" s="1" t="s">
        <v>9</v>
      </c>
      <c r="L82" s="6">
        <v>0</v>
      </c>
      <c r="M82" s="1" t="s">
        <v>10</v>
      </c>
      <c r="P82" s="1" t="s">
        <v>54</v>
      </c>
      <c r="Q82" s="1" t="s">
        <v>54</v>
      </c>
      <c r="U82" t="str">
        <f>+UPPER(Tabla1[[#This Row],[MATERIALES_REQUERIDOS]])</f>
        <v/>
      </c>
      <c r="V82" t="str">
        <f>+UPPER(Tabla1[[#This Row],[EQUIPOS_USADOS]])</f>
        <v/>
      </c>
    </row>
    <row r="83" spans="1:22" ht="43.2" x14ac:dyDescent="0.3">
      <c r="A83" s="1" t="s">
        <v>276</v>
      </c>
      <c r="B83" s="1" t="s">
        <v>26</v>
      </c>
      <c r="C83" s="1" t="s">
        <v>33</v>
      </c>
      <c r="D83" s="1" t="s">
        <v>277</v>
      </c>
      <c r="E83" s="1" t="s">
        <v>24</v>
      </c>
      <c r="F83" s="1" t="s">
        <v>278</v>
      </c>
      <c r="G83" s="1">
        <v>1</v>
      </c>
      <c r="H83" s="1">
        <v>2</v>
      </c>
      <c r="I83" s="2">
        <v>46147</v>
      </c>
      <c r="J83" s="2">
        <v>46147</v>
      </c>
      <c r="K83" s="1" t="s">
        <v>9</v>
      </c>
      <c r="L83" s="6">
        <v>0</v>
      </c>
      <c r="M83" s="1" t="s">
        <v>10</v>
      </c>
      <c r="O83" s="1" t="s">
        <v>19</v>
      </c>
      <c r="P83" s="1" t="s">
        <v>54</v>
      </c>
      <c r="Q83" s="1" t="s">
        <v>54</v>
      </c>
      <c r="U83" t="str">
        <f>+UPPER(Tabla1[[#This Row],[MATERIALES_REQUERIDOS]])</f>
        <v/>
      </c>
      <c r="V83" t="str">
        <f>+UPPER(Tabla1[[#This Row],[EQUIPOS_USADOS]])</f>
        <v/>
      </c>
    </row>
    <row r="84" spans="1:22" ht="43.2" x14ac:dyDescent="0.3">
      <c r="A84" s="1" t="s">
        <v>279</v>
      </c>
      <c r="B84" s="1" t="s">
        <v>26</v>
      </c>
      <c r="C84" s="1" t="s">
        <v>33</v>
      </c>
      <c r="D84" s="1" t="s">
        <v>277</v>
      </c>
      <c r="E84" s="1" t="s">
        <v>24</v>
      </c>
      <c r="F84" s="1" t="s">
        <v>280</v>
      </c>
      <c r="G84" s="1">
        <v>1</v>
      </c>
      <c r="H84" s="1">
        <v>8</v>
      </c>
      <c r="I84" s="2">
        <v>46149</v>
      </c>
      <c r="J84" s="2">
        <v>46150</v>
      </c>
      <c r="K84" s="1" t="s">
        <v>9</v>
      </c>
      <c r="L84" s="6">
        <v>0</v>
      </c>
      <c r="M84" s="1" t="s">
        <v>10</v>
      </c>
      <c r="P84" s="1" t="s">
        <v>54</v>
      </c>
      <c r="Q84" s="1" t="s">
        <v>54</v>
      </c>
      <c r="U84" t="str">
        <f>+UPPER(Tabla1[[#This Row],[MATERIALES_REQUERIDOS]])</f>
        <v/>
      </c>
      <c r="V84" t="str">
        <f>+UPPER(Tabla1[[#This Row],[EQUIPOS_USADOS]])</f>
        <v/>
      </c>
    </row>
    <row r="85" spans="1:22" ht="57.6" x14ac:dyDescent="0.3">
      <c r="A85" s="1" t="s">
        <v>281</v>
      </c>
      <c r="B85" s="1" t="s">
        <v>26</v>
      </c>
      <c r="C85" s="1" t="s">
        <v>12</v>
      </c>
      <c r="D85" s="1" t="s">
        <v>282</v>
      </c>
      <c r="E85" s="1" t="s">
        <v>24</v>
      </c>
      <c r="F85" s="1" t="s">
        <v>283</v>
      </c>
      <c r="G85" s="1">
        <v>1</v>
      </c>
      <c r="H85" s="1">
        <v>2</v>
      </c>
      <c r="I85" s="2">
        <v>46147</v>
      </c>
      <c r="J85" s="2">
        <v>46147</v>
      </c>
      <c r="K85" s="1" t="s">
        <v>9</v>
      </c>
      <c r="L85" s="6">
        <v>1</v>
      </c>
      <c r="M85" s="1" t="s">
        <v>10</v>
      </c>
      <c r="N85" s="1">
        <v>2</v>
      </c>
      <c r="P85" s="1" t="s">
        <v>262</v>
      </c>
      <c r="Q85" s="1" t="s">
        <v>263</v>
      </c>
      <c r="U85" t="str">
        <f>+UPPER(Tabla1[[#This Row],[MATERIALES_REQUERIDOS]])</f>
        <v xml:space="preserve">KIT DE TINTES PENETRANTES
TINNER
TRAPOS ESTERILIZADOS 
</v>
      </c>
      <c r="V85" t="str">
        <f>+UPPER(Tabla1[[#This Row],[EQUIPOS_USADOS]])</f>
        <v>CALIBRADOR</v>
      </c>
    </row>
    <row r="86" spans="1:22" ht="43.2" x14ac:dyDescent="0.3">
      <c r="A86" s="1" t="s">
        <v>284</v>
      </c>
      <c r="B86" s="1" t="s">
        <v>26</v>
      </c>
      <c r="C86" s="1" t="s">
        <v>12</v>
      </c>
      <c r="D86" s="1" t="s">
        <v>282</v>
      </c>
      <c r="E86" s="1" t="s">
        <v>24</v>
      </c>
      <c r="F86" s="1" t="s">
        <v>285</v>
      </c>
      <c r="G86" s="1">
        <v>1</v>
      </c>
      <c r="H86" s="1">
        <v>8</v>
      </c>
      <c r="I86" s="2">
        <v>46149</v>
      </c>
      <c r="J86" s="2">
        <v>46150</v>
      </c>
      <c r="K86" s="1" t="s">
        <v>9</v>
      </c>
      <c r="L86" s="6">
        <v>0</v>
      </c>
      <c r="M86" s="1" t="s">
        <v>10</v>
      </c>
      <c r="P86" s="1" t="s">
        <v>54</v>
      </c>
      <c r="Q86" s="1" t="s">
        <v>243</v>
      </c>
      <c r="U86" t="str">
        <f>+UPPER(Tabla1[[#This Row],[MATERIALES_REQUERIDOS]])</f>
        <v/>
      </c>
      <c r="V86" t="str">
        <f>+UPPER(Tabla1[[#This Row],[EQUIPOS_USADOS]])</f>
        <v>LAPTOP</v>
      </c>
    </row>
    <row r="87" spans="1:22" ht="57.6" x14ac:dyDescent="0.3">
      <c r="A87" s="1" t="s">
        <v>286</v>
      </c>
      <c r="B87" s="1" t="s">
        <v>26</v>
      </c>
      <c r="C87" s="1" t="s">
        <v>12</v>
      </c>
      <c r="D87" s="1" t="s">
        <v>287</v>
      </c>
      <c r="E87" s="1" t="s">
        <v>24</v>
      </c>
      <c r="F87" s="1" t="s">
        <v>288</v>
      </c>
      <c r="G87" s="1">
        <v>1</v>
      </c>
      <c r="H87" s="1">
        <v>2</v>
      </c>
      <c r="I87" s="2">
        <v>46147</v>
      </c>
      <c r="J87" s="2">
        <v>46147</v>
      </c>
      <c r="K87" s="1" t="s">
        <v>9</v>
      </c>
      <c r="L87" s="6">
        <v>1</v>
      </c>
      <c r="M87" s="1" t="s">
        <v>10</v>
      </c>
      <c r="N87" s="1">
        <v>2</v>
      </c>
      <c r="P87" s="1" t="s">
        <v>262</v>
      </c>
      <c r="Q87" s="1" t="s">
        <v>263</v>
      </c>
      <c r="U87" t="str">
        <f>+UPPER(Tabla1[[#This Row],[MATERIALES_REQUERIDOS]])</f>
        <v xml:space="preserve">KIT DE TINTES PENETRANTES
TINNER
TRAPOS ESTERILIZADOS 
</v>
      </c>
      <c r="V87" t="str">
        <f>+UPPER(Tabla1[[#This Row],[EQUIPOS_USADOS]])</f>
        <v>CALIBRADOR</v>
      </c>
    </row>
    <row r="88" spans="1:22" ht="43.2" x14ac:dyDescent="0.3">
      <c r="A88" s="1" t="s">
        <v>289</v>
      </c>
      <c r="B88" s="1" t="s">
        <v>26</v>
      </c>
      <c r="C88" s="1" t="s">
        <v>12</v>
      </c>
      <c r="D88" s="1" t="s">
        <v>287</v>
      </c>
      <c r="E88" s="1" t="s">
        <v>24</v>
      </c>
      <c r="F88" s="1" t="s">
        <v>290</v>
      </c>
      <c r="G88" s="1">
        <v>1</v>
      </c>
      <c r="H88" s="1">
        <v>8</v>
      </c>
      <c r="I88" s="2">
        <v>46149</v>
      </c>
      <c r="J88" s="2">
        <v>46150</v>
      </c>
      <c r="K88" s="1" t="s">
        <v>9</v>
      </c>
      <c r="L88" s="6">
        <v>0</v>
      </c>
      <c r="M88" s="1" t="s">
        <v>10</v>
      </c>
      <c r="P88" s="1" t="s">
        <v>54</v>
      </c>
      <c r="Q88" s="1" t="s">
        <v>243</v>
      </c>
      <c r="U88" t="str">
        <f>+UPPER(Tabla1[[#This Row],[MATERIALES_REQUERIDOS]])</f>
        <v/>
      </c>
      <c r="V88" t="str">
        <f>+UPPER(Tabla1[[#This Row],[EQUIPOS_USADOS]])</f>
        <v>LAPTOP</v>
      </c>
    </row>
    <row r="89" spans="1:22" ht="57.6" x14ac:dyDescent="0.3">
      <c r="A89" s="1" t="s">
        <v>291</v>
      </c>
      <c r="B89" s="1" t="s">
        <v>26</v>
      </c>
      <c r="C89" s="1" t="s">
        <v>30</v>
      </c>
      <c r="D89" s="1" t="s">
        <v>292</v>
      </c>
      <c r="E89" s="1" t="s">
        <v>24</v>
      </c>
      <c r="F89" s="1" t="s">
        <v>293</v>
      </c>
      <c r="G89" s="1">
        <v>1</v>
      </c>
      <c r="H89" s="1">
        <v>2</v>
      </c>
      <c r="I89" s="2">
        <v>46147</v>
      </c>
      <c r="J89" s="2">
        <v>46147</v>
      </c>
      <c r="K89" s="1" t="s">
        <v>9</v>
      </c>
      <c r="L89" s="6">
        <v>1</v>
      </c>
      <c r="M89" s="1" t="s">
        <v>10</v>
      </c>
      <c r="N89" s="1">
        <v>2</v>
      </c>
      <c r="P89" s="1" t="s">
        <v>262</v>
      </c>
      <c r="Q89" s="1" t="s">
        <v>263</v>
      </c>
      <c r="U89" t="str">
        <f>+UPPER(Tabla1[[#This Row],[MATERIALES_REQUERIDOS]])</f>
        <v xml:space="preserve">KIT DE TINTES PENETRANTES
TINNER
TRAPOS ESTERILIZADOS 
</v>
      </c>
      <c r="V89" t="str">
        <f>+UPPER(Tabla1[[#This Row],[EQUIPOS_USADOS]])</f>
        <v>CALIBRADOR</v>
      </c>
    </row>
    <row r="90" spans="1:22" ht="43.2" x14ac:dyDescent="0.3">
      <c r="A90" s="1" t="s">
        <v>294</v>
      </c>
      <c r="B90" s="1" t="s">
        <v>26</v>
      </c>
      <c r="C90" s="1" t="s">
        <v>30</v>
      </c>
      <c r="D90" s="1" t="s">
        <v>292</v>
      </c>
      <c r="E90" s="1" t="s">
        <v>24</v>
      </c>
      <c r="F90" s="1" t="s">
        <v>295</v>
      </c>
      <c r="G90" s="1">
        <v>1</v>
      </c>
      <c r="H90" s="1">
        <v>8</v>
      </c>
      <c r="I90" s="2">
        <v>46149</v>
      </c>
      <c r="J90" s="2">
        <v>46150</v>
      </c>
      <c r="K90" s="1" t="s">
        <v>9</v>
      </c>
      <c r="L90" s="6">
        <v>0</v>
      </c>
      <c r="M90" s="1" t="s">
        <v>10</v>
      </c>
      <c r="P90" s="1" t="s">
        <v>54</v>
      </c>
      <c r="Q90" s="1" t="s">
        <v>243</v>
      </c>
      <c r="U90" t="str">
        <f>+UPPER(Tabla1[[#This Row],[MATERIALES_REQUERIDOS]])</f>
        <v/>
      </c>
      <c r="V90" t="str">
        <f>+UPPER(Tabla1[[#This Row],[EQUIPOS_USADOS]])</f>
        <v>LAPTOP</v>
      </c>
    </row>
    <row r="91" spans="1:22" ht="57.6" x14ac:dyDescent="0.3">
      <c r="A91" s="1" t="s">
        <v>296</v>
      </c>
      <c r="B91" s="1" t="s">
        <v>26</v>
      </c>
      <c r="C91" s="1" t="s">
        <v>30</v>
      </c>
      <c r="D91" s="1" t="s">
        <v>297</v>
      </c>
      <c r="E91" s="1" t="s">
        <v>24</v>
      </c>
      <c r="F91" s="1" t="s">
        <v>298</v>
      </c>
      <c r="G91" s="1">
        <v>1</v>
      </c>
      <c r="H91" s="1">
        <v>2</v>
      </c>
      <c r="I91" s="2">
        <v>46147</v>
      </c>
      <c r="J91" s="2">
        <v>46147</v>
      </c>
      <c r="K91" s="1" t="s">
        <v>9</v>
      </c>
      <c r="L91" s="6">
        <v>1</v>
      </c>
      <c r="M91" s="1" t="s">
        <v>10</v>
      </c>
      <c r="N91" s="1">
        <v>2</v>
      </c>
      <c r="P91" s="1" t="s">
        <v>262</v>
      </c>
      <c r="Q91" s="1" t="s">
        <v>263</v>
      </c>
      <c r="U91" t="str">
        <f>+UPPER(Tabla1[[#This Row],[MATERIALES_REQUERIDOS]])</f>
        <v xml:space="preserve">KIT DE TINTES PENETRANTES
TINNER
TRAPOS ESTERILIZADOS 
</v>
      </c>
      <c r="V91" t="str">
        <f>+UPPER(Tabla1[[#This Row],[EQUIPOS_USADOS]])</f>
        <v>CALIBRADOR</v>
      </c>
    </row>
    <row r="92" spans="1:22" ht="43.2" x14ac:dyDescent="0.3">
      <c r="A92" s="1" t="s">
        <v>299</v>
      </c>
      <c r="B92" s="1" t="s">
        <v>26</v>
      </c>
      <c r="C92" s="1" t="s">
        <v>30</v>
      </c>
      <c r="D92" s="1" t="s">
        <v>297</v>
      </c>
      <c r="E92" s="1" t="s">
        <v>24</v>
      </c>
      <c r="F92" s="1" t="s">
        <v>300</v>
      </c>
      <c r="G92" s="1">
        <v>1</v>
      </c>
      <c r="H92" s="1">
        <v>8</v>
      </c>
      <c r="I92" s="2">
        <v>46149</v>
      </c>
      <c r="J92" s="2">
        <v>46150</v>
      </c>
      <c r="K92" s="1" t="s">
        <v>9</v>
      </c>
      <c r="L92" s="6">
        <v>0</v>
      </c>
      <c r="M92" s="1" t="s">
        <v>10</v>
      </c>
      <c r="P92" s="1" t="s">
        <v>54</v>
      </c>
      <c r="Q92" s="1" t="s">
        <v>243</v>
      </c>
      <c r="U92" t="str">
        <f>+UPPER(Tabla1[[#This Row],[MATERIALES_REQUERIDOS]])</f>
        <v/>
      </c>
      <c r="V92" t="str">
        <f>+UPPER(Tabla1[[#This Row],[EQUIPOS_USADOS]])</f>
        <v>LAPTOP</v>
      </c>
    </row>
    <row r="93" spans="1:22" ht="57.6" x14ac:dyDescent="0.3">
      <c r="A93" s="1" t="s">
        <v>301</v>
      </c>
      <c r="B93" s="1" t="s">
        <v>26</v>
      </c>
      <c r="C93" s="1" t="s">
        <v>30</v>
      </c>
      <c r="D93" s="1" t="s">
        <v>302</v>
      </c>
      <c r="E93" s="1" t="s">
        <v>24</v>
      </c>
      <c r="F93" s="1" t="s">
        <v>303</v>
      </c>
      <c r="G93" s="1">
        <v>1</v>
      </c>
      <c r="H93" s="1">
        <v>2</v>
      </c>
      <c r="I93" s="2">
        <v>46147</v>
      </c>
      <c r="J93" s="2">
        <v>46147</v>
      </c>
      <c r="K93" s="1" t="s">
        <v>9</v>
      </c>
      <c r="L93" s="6">
        <v>1</v>
      </c>
      <c r="M93" s="1" t="s">
        <v>10</v>
      </c>
      <c r="N93" s="1">
        <v>2</v>
      </c>
      <c r="P93" s="1" t="s">
        <v>262</v>
      </c>
      <c r="Q93" s="1" t="s">
        <v>263</v>
      </c>
      <c r="U93" t="str">
        <f>+UPPER(Tabla1[[#This Row],[MATERIALES_REQUERIDOS]])</f>
        <v xml:space="preserve">KIT DE TINTES PENETRANTES
TINNER
TRAPOS ESTERILIZADOS 
</v>
      </c>
      <c r="V93" t="str">
        <f>+UPPER(Tabla1[[#This Row],[EQUIPOS_USADOS]])</f>
        <v>CALIBRADOR</v>
      </c>
    </row>
    <row r="94" spans="1:22" ht="43.2" x14ac:dyDescent="0.3">
      <c r="A94" s="1" t="s">
        <v>304</v>
      </c>
      <c r="B94" s="1" t="s">
        <v>26</v>
      </c>
      <c r="C94" s="1" t="s">
        <v>30</v>
      </c>
      <c r="D94" s="1" t="s">
        <v>302</v>
      </c>
      <c r="E94" s="1" t="s">
        <v>24</v>
      </c>
      <c r="F94" s="1" t="s">
        <v>305</v>
      </c>
      <c r="G94" s="1">
        <v>1</v>
      </c>
      <c r="H94" s="1">
        <v>8</v>
      </c>
      <c r="I94" s="2">
        <v>46149</v>
      </c>
      <c r="J94" s="2">
        <v>46150</v>
      </c>
      <c r="K94" s="1" t="s">
        <v>9</v>
      </c>
      <c r="L94" s="6">
        <v>0</v>
      </c>
      <c r="M94" s="1" t="s">
        <v>10</v>
      </c>
      <c r="P94" s="1" t="s">
        <v>54</v>
      </c>
      <c r="Q94" s="1" t="s">
        <v>243</v>
      </c>
      <c r="U94" t="str">
        <f>+UPPER(Tabla1[[#This Row],[MATERIALES_REQUERIDOS]])</f>
        <v/>
      </c>
      <c r="V94" t="str">
        <f>+UPPER(Tabla1[[#This Row],[EQUIPOS_USADOS]])</f>
        <v>LAPTOP</v>
      </c>
    </row>
    <row r="95" spans="1:22" ht="57.6" x14ac:dyDescent="0.3">
      <c r="A95" s="1" t="s">
        <v>306</v>
      </c>
      <c r="B95" s="1" t="s">
        <v>26</v>
      </c>
      <c r="C95" s="1" t="s">
        <v>30</v>
      </c>
      <c r="D95" s="1" t="s">
        <v>307</v>
      </c>
      <c r="E95" s="1" t="s">
        <v>24</v>
      </c>
      <c r="F95" s="1" t="s">
        <v>308</v>
      </c>
      <c r="G95" s="1">
        <v>1</v>
      </c>
      <c r="H95" s="1">
        <v>2</v>
      </c>
      <c r="I95" s="2">
        <v>46147</v>
      </c>
      <c r="J95" s="2">
        <v>46147</v>
      </c>
      <c r="K95" s="1" t="s">
        <v>9</v>
      </c>
      <c r="L95" s="6">
        <v>1</v>
      </c>
      <c r="M95" s="1" t="s">
        <v>10</v>
      </c>
      <c r="N95" s="1">
        <v>2</v>
      </c>
      <c r="P95" s="1" t="s">
        <v>262</v>
      </c>
      <c r="Q95" s="1" t="s">
        <v>263</v>
      </c>
      <c r="U95" t="str">
        <f>+UPPER(Tabla1[[#This Row],[MATERIALES_REQUERIDOS]])</f>
        <v xml:space="preserve">KIT DE TINTES PENETRANTES
TINNER
TRAPOS ESTERILIZADOS 
</v>
      </c>
      <c r="V95" t="str">
        <f>+UPPER(Tabla1[[#This Row],[EQUIPOS_USADOS]])</f>
        <v>CALIBRADOR</v>
      </c>
    </row>
    <row r="96" spans="1:22" ht="43.2" x14ac:dyDescent="0.3">
      <c r="A96" s="1" t="s">
        <v>309</v>
      </c>
      <c r="B96" s="1" t="s">
        <v>26</v>
      </c>
      <c r="C96" s="1" t="s">
        <v>30</v>
      </c>
      <c r="D96" s="1" t="s">
        <v>307</v>
      </c>
      <c r="E96" s="1" t="s">
        <v>24</v>
      </c>
      <c r="F96" s="1" t="s">
        <v>310</v>
      </c>
      <c r="G96" s="1">
        <v>1</v>
      </c>
      <c r="H96" s="1">
        <v>8</v>
      </c>
      <c r="I96" s="2">
        <v>46149</v>
      </c>
      <c r="J96" s="2">
        <v>46150</v>
      </c>
      <c r="K96" s="1" t="s">
        <v>9</v>
      </c>
      <c r="L96" s="6">
        <v>0</v>
      </c>
      <c r="M96" s="1" t="s">
        <v>10</v>
      </c>
      <c r="P96" s="1" t="s">
        <v>54</v>
      </c>
      <c r="Q96" s="1" t="s">
        <v>243</v>
      </c>
      <c r="U96" t="str">
        <f>+UPPER(Tabla1[[#This Row],[MATERIALES_REQUERIDOS]])</f>
        <v/>
      </c>
      <c r="V96" t="str">
        <f>+UPPER(Tabla1[[#This Row],[EQUIPOS_USADOS]])</f>
        <v>LAPTOP</v>
      </c>
    </row>
    <row r="97" spans="1:22" ht="57.6" x14ac:dyDescent="0.3">
      <c r="A97" s="1" t="s">
        <v>311</v>
      </c>
      <c r="B97" s="1" t="s">
        <v>26</v>
      </c>
      <c r="C97" s="1" t="s">
        <v>33</v>
      </c>
      <c r="D97" s="1" t="s">
        <v>312</v>
      </c>
      <c r="E97" s="1" t="s">
        <v>24</v>
      </c>
      <c r="F97" s="1" t="s">
        <v>313</v>
      </c>
      <c r="G97" s="1">
        <v>2</v>
      </c>
      <c r="I97" s="2">
        <v>46146</v>
      </c>
      <c r="J97" s="2">
        <v>46150</v>
      </c>
      <c r="K97" s="1" t="s">
        <v>13</v>
      </c>
      <c r="L97" s="6">
        <v>0.32</v>
      </c>
      <c r="M97" s="1" t="s">
        <v>10</v>
      </c>
      <c r="P97" s="1" t="s">
        <v>262</v>
      </c>
      <c r="Q97" s="1" t="s">
        <v>54</v>
      </c>
      <c r="R97" s="1" t="s">
        <v>314</v>
      </c>
      <c r="U97" t="str">
        <f>+UPPER(Tabla1[[#This Row],[MATERIALES_REQUERIDOS]])</f>
        <v xml:space="preserve">KIT DE TINTES PENETRANTES
TINNER
TRAPOS ESTERILIZADOS 
</v>
      </c>
      <c r="V97" t="str">
        <f>+UPPER(Tabla1[[#This Row],[EQUIPOS_USADOS]])</f>
        <v/>
      </c>
    </row>
    <row r="98" spans="1:22" ht="115.2" x14ac:dyDescent="0.3">
      <c r="A98" s="1" t="s">
        <v>315</v>
      </c>
      <c r="B98" s="1" t="s">
        <v>26</v>
      </c>
      <c r="C98" s="1" t="s">
        <v>12</v>
      </c>
      <c r="D98" s="1" t="s">
        <v>316</v>
      </c>
      <c r="E98" s="1" t="s">
        <v>24</v>
      </c>
      <c r="F98" s="1" t="s">
        <v>317</v>
      </c>
      <c r="G98" s="1">
        <v>2</v>
      </c>
      <c r="H98" s="1">
        <v>20</v>
      </c>
      <c r="I98" s="2">
        <v>46118</v>
      </c>
      <c r="J98" s="2">
        <v>46153</v>
      </c>
      <c r="K98" s="1" t="s">
        <v>9</v>
      </c>
      <c r="L98" s="6">
        <v>0</v>
      </c>
      <c r="M98" s="1" t="s">
        <v>10</v>
      </c>
      <c r="P98" s="1" t="s">
        <v>239</v>
      </c>
      <c r="Q98" s="1" t="s">
        <v>256</v>
      </c>
      <c r="U98" t="str">
        <f>+UPPER(Tabla1[[#This Row],[MATERIALES_REQUERIDOS]])</f>
        <v>GEL PARA ULTRA SONIDO
DISCO DE DESBASTE DE 4 1/2"
CUADERNO
LAPIZ
TIZA DE HERRERIA</v>
      </c>
      <c r="V98" t="str">
        <f>+UPPER(Tabla1[[#This Row],[EQUIPOS_USADOS]])</f>
        <v>MEDIDOR DE ESPESORES KRAUTKRAMER
MEDIDOR DE ESPESORES UNIT
ESMERIL INALAMBRICO
ARNES Y ESLINGA</v>
      </c>
    </row>
    <row r="99" spans="1:22" ht="115.2" x14ac:dyDescent="0.3">
      <c r="A99" s="1" t="s">
        <v>318</v>
      </c>
      <c r="B99" s="1" t="s">
        <v>26</v>
      </c>
      <c r="C99" s="1" t="s">
        <v>30</v>
      </c>
      <c r="D99" s="1" t="s">
        <v>319</v>
      </c>
      <c r="E99" s="1" t="s">
        <v>24</v>
      </c>
      <c r="F99" s="1" t="s">
        <v>320</v>
      </c>
      <c r="G99" s="1">
        <v>2</v>
      </c>
      <c r="H99" s="1">
        <v>3</v>
      </c>
      <c r="I99" s="2">
        <v>46141</v>
      </c>
      <c r="J99" s="2">
        <v>46141</v>
      </c>
      <c r="K99" s="1" t="s">
        <v>22</v>
      </c>
      <c r="L99" s="6">
        <v>1</v>
      </c>
      <c r="M99" s="1" t="s">
        <v>10</v>
      </c>
      <c r="O99" s="1" t="s">
        <v>19</v>
      </c>
      <c r="P99" s="1" t="s">
        <v>239</v>
      </c>
      <c r="Q99" s="1" t="s">
        <v>256</v>
      </c>
      <c r="R99" s="1" t="s">
        <v>321</v>
      </c>
      <c r="U99" t="str">
        <f>+UPPER(Tabla1[[#This Row],[MATERIALES_REQUERIDOS]])</f>
        <v>GEL PARA ULTRA SONIDO
DISCO DE DESBASTE DE 4 1/2"
CUADERNO
LAPIZ
TIZA DE HERRERIA</v>
      </c>
      <c r="V99" t="str">
        <f>+UPPER(Tabla1[[#This Row],[EQUIPOS_USADOS]])</f>
        <v>MEDIDOR DE ESPESORES KRAUTKRAMER
MEDIDOR DE ESPESORES UNIT
ESMERIL INALAMBRICO
ARNES Y ESLINGA</v>
      </c>
    </row>
    <row r="100" spans="1:22" ht="43.2" x14ac:dyDescent="0.3">
      <c r="A100" s="1" t="s">
        <v>322</v>
      </c>
      <c r="B100" s="1" t="s">
        <v>26</v>
      </c>
      <c r="C100" s="1" t="s">
        <v>30</v>
      </c>
      <c r="D100" s="1" t="s">
        <v>319</v>
      </c>
      <c r="E100" s="1" t="s">
        <v>24</v>
      </c>
      <c r="F100" s="1" t="s">
        <v>323</v>
      </c>
      <c r="G100" s="1">
        <v>1</v>
      </c>
      <c r="H100" s="1">
        <v>3</v>
      </c>
      <c r="I100" s="2">
        <v>46146</v>
      </c>
      <c r="J100" s="2">
        <v>46146</v>
      </c>
      <c r="K100" s="1" t="s">
        <v>22</v>
      </c>
      <c r="L100" s="6">
        <v>1</v>
      </c>
      <c r="M100" s="1" t="s">
        <v>10</v>
      </c>
      <c r="P100" s="1" t="s">
        <v>54</v>
      </c>
      <c r="Q100" s="1" t="s">
        <v>54</v>
      </c>
      <c r="R100" s="1" t="s">
        <v>324</v>
      </c>
      <c r="U100" t="str">
        <f>+UPPER(Tabla1[[#This Row],[MATERIALES_REQUERIDOS]])</f>
        <v/>
      </c>
      <c r="V100" t="str">
        <f>+UPPER(Tabla1[[#This Row],[EQUIPOS_USADOS]])</f>
        <v/>
      </c>
    </row>
    <row r="101" spans="1:22" ht="115.2" x14ac:dyDescent="0.3">
      <c r="A101" s="1" t="s">
        <v>325</v>
      </c>
      <c r="B101" s="1" t="s">
        <v>26</v>
      </c>
      <c r="C101" s="1" t="s">
        <v>30</v>
      </c>
      <c r="D101" s="1" t="s">
        <v>326</v>
      </c>
      <c r="E101" s="1" t="s">
        <v>24</v>
      </c>
      <c r="F101" s="1" t="s">
        <v>327</v>
      </c>
      <c r="G101" s="1">
        <v>2</v>
      </c>
      <c r="H101" s="1">
        <v>3</v>
      </c>
      <c r="I101" s="2">
        <v>46141</v>
      </c>
      <c r="J101" s="2">
        <v>46141</v>
      </c>
      <c r="K101" s="1" t="s">
        <v>22</v>
      </c>
      <c r="L101" s="6">
        <v>1</v>
      </c>
      <c r="M101" s="1" t="s">
        <v>10</v>
      </c>
      <c r="O101" s="1" t="s">
        <v>19</v>
      </c>
      <c r="P101" s="1" t="s">
        <v>239</v>
      </c>
      <c r="Q101" s="1" t="s">
        <v>256</v>
      </c>
      <c r="R101" s="1" t="s">
        <v>321</v>
      </c>
      <c r="U101" t="str">
        <f>+UPPER(Tabla1[[#This Row],[MATERIALES_REQUERIDOS]])</f>
        <v>GEL PARA ULTRA SONIDO
DISCO DE DESBASTE DE 4 1/2"
CUADERNO
LAPIZ
TIZA DE HERRERIA</v>
      </c>
      <c r="V101" t="str">
        <f>+UPPER(Tabla1[[#This Row],[EQUIPOS_USADOS]])</f>
        <v>MEDIDOR DE ESPESORES KRAUTKRAMER
MEDIDOR DE ESPESORES UNIT
ESMERIL INALAMBRICO
ARNES Y ESLINGA</v>
      </c>
    </row>
    <row r="102" spans="1:22" ht="43.2" x14ac:dyDescent="0.3">
      <c r="A102" s="1" t="s">
        <v>328</v>
      </c>
      <c r="B102" s="1" t="s">
        <v>26</v>
      </c>
      <c r="C102" s="1" t="s">
        <v>30</v>
      </c>
      <c r="D102" s="1" t="s">
        <v>326</v>
      </c>
      <c r="E102" s="1" t="s">
        <v>24</v>
      </c>
      <c r="F102" s="1" t="s">
        <v>329</v>
      </c>
      <c r="G102" s="1">
        <v>1</v>
      </c>
      <c r="H102" s="1">
        <v>3</v>
      </c>
      <c r="I102" s="2">
        <v>46146</v>
      </c>
      <c r="J102" s="2">
        <v>46146</v>
      </c>
      <c r="K102" s="1" t="s">
        <v>22</v>
      </c>
      <c r="L102" s="6">
        <v>1</v>
      </c>
      <c r="M102" s="1" t="s">
        <v>10</v>
      </c>
      <c r="P102" s="1" t="s">
        <v>54</v>
      </c>
      <c r="Q102" s="1" t="s">
        <v>54</v>
      </c>
      <c r="R102" s="1" t="s">
        <v>324</v>
      </c>
      <c r="U102" t="str">
        <f>+UPPER(Tabla1[[#This Row],[MATERIALES_REQUERIDOS]])</f>
        <v/>
      </c>
      <c r="V102" t="str">
        <f>+UPPER(Tabla1[[#This Row],[EQUIPOS_USADOS]])</f>
        <v/>
      </c>
    </row>
    <row r="103" spans="1:22" ht="28.8" x14ac:dyDescent="0.3">
      <c r="A103" s="1" t="s">
        <v>330</v>
      </c>
      <c r="B103" s="1" t="s">
        <v>29</v>
      </c>
      <c r="C103" s="1" t="s">
        <v>21</v>
      </c>
      <c r="D103" s="1" t="s">
        <v>331</v>
      </c>
      <c r="E103" s="1" t="s">
        <v>28</v>
      </c>
      <c r="F103" s="1" t="s">
        <v>332</v>
      </c>
      <c r="G103" s="1">
        <v>1</v>
      </c>
      <c r="H103" s="1">
        <v>2</v>
      </c>
      <c r="I103" s="2">
        <v>46146</v>
      </c>
      <c r="J103" s="2">
        <v>46147</v>
      </c>
      <c r="K103" s="1" t="s">
        <v>22</v>
      </c>
      <c r="L103" s="6">
        <v>1</v>
      </c>
      <c r="M103" s="1" t="s">
        <v>10</v>
      </c>
      <c r="N103" s="1">
        <v>1</v>
      </c>
      <c r="P103" s="1" t="s">
        <v>54</v>
      </c>
      <c r="Q103" s="1" t="s">
        <v>54</v>
      </c>
      <c r="U103" t="str">
        <f>+UPPER(Tabla1[[#This Row],[MATERIALES_REQUERIDOS]])</f>
        <v/>
      </c>
      <c r="V103" t="str">
        <f>+UPPER(Tabla1[[#This Row],[EQUIPOS_USADOS]])</f>
        <v/>
      </c>
    </row>
    <row r="104" spans="1:22" ht="28.8" x14ac:dyDescent="0.3">
      <c r="A104" s="1" t="s">
        <v>333</v>
      </c>
      <c r="B104" s="1" t="s">
        <v>29</v>
      </c>
      <c r="C104" s="1" t="s">
        <v>21</v>
      </c>
      <c r="D104" s="1" t="s">
        <v>331</v>
      </c>
      <c r="E104" s="1" t="s">
        <v>28</v>
      </c>
      <c r="F104" s="1" t="s">
        <v>334</v>
      </c>
      <c r="G104" s="1">
        <v>1</v>
      </c>
      <c r="H104" s="1">
        <v>1</v>
      </c>
      <c r="I104" s="2">
        <v>46146</v>
      </c>
      <c r="J104" s="2">
        <v>46147</v>
      </c>
      <c r="K104" s="1" t="s">
        <v>22</v>
      </c>
      <c r="L104" s="6">
        <v>1</v>
      </c>
      <c r="M104" s="1" t="s">
        <v>10</v>
      </c>
      <c r="N104" s="1">
        <v>2</v>
      </c>
      <c r="O104" s="1" t="s">
        <v>19</v>
      </c>
      <c r="P104" s="1" t="s">
        <v>54</v>
      </c>
      <c r="Q104" s="1" t="s">
        <v>54</v>
      </c>
      <c r="U104" t="str">
        <f>+UPPER(Tabla1[[#This Row],[MATERIALES_REQUERIDOS]])</f>
        <v/>
      </c>
      <c r="V104" t="str">
        <f>+UPPER(Tabla1[[#This Row],[EQUIPOS_USADOS]])</f>
        <v/>
      </c>
    </row>
    <row r="105" spans="1:22" ht="28.8" x14ac:dyDescent="0.3">
      <c r="A105" s="1" t="s">
        <v>335</v>
      </c>
      <c r="B105" s="1" t="s">
        <v>29</v>
      </c>
      <c r="C105" s="1" t="s">
        <v>21</v>
      </c>
      <c r="D105" s="1" t="s">
        <v>331</v>
      </c>
      <c r="E105" s="1" t="s">
        <v>28</v>
      </c>
      <c r="F105" s="1" t="s">
        <v>336</v>
      </c>
      <c r="G105" s="1">
        <v>1</v>
      </c>
      <c r="H105" s="1">
        <v>1</v>
      </c>
      <c r="I105" s="2">
        <v>46146</v>
      </c>
      <c r="J105" s="2">
        <v>46147</v>
      </c>
      <c r="K105" s="1" t="s">
        <v>22</v>
      </c>
      <c r="L105" s="6">
        <v>1</v>
      </c>
      <c r="M105" s="1" t="s">
        <v>10</v>
      </c>
      <c r="N105" s="1">
        <v>1</v>
      </c>
      <c r="P105" s="1" t="s">
        <v>54</v>
      </c>
      <c r="Q105" s="1" t="s">
        <v>54</v>
      </c>
      <c r="U105" t="str">
        <f>+UPPER(Tabla1[[#This Row],[MATERIALES_REQUERIDOS]])</f>
        <v/>
      </c>
      <c r="V105" t="str">
        <f>+UPPER(Tabla1[[#This Row],[EQUIPOS_USADOS]])</f>
        <v/>
      </c>
    </row>
    <row r="106" spans="1:22" ht="28.8" x14ac:dyDescent="0.3">
      <c r="A106" s="1" t="s">
        <v>337</v>
      </c>
      <c r="B106" s="1" t="s">
        <v>29</v>
      </c>
      <c r="C106" s="1" t="s">
        <v>21</v>
      </c>
      <c r="D106" s="1" t="s">
        <v>331</v>
      </c>
      <c r="E106" s="1" t="s">
        <v>28</v>
      </c>
      <c r="F106" s="1" t="s">
        <v>338</v>
      </c>
      <c r="G106" s="1">
        <v>1</v>
      </c>
      <c r="H106" s="1">
        <v>1</v>
      </c>
      <c r="I106" s="2">
        <v>46146</v>
      </c>
      <c r="J106" s="2">
        <v>46147</v>
      </c>
      <c r="K106" s="1" t="s">
        <v>22</v>
      </c>
      <c r="L106" s="6">
        <v>1</v>
      </c>
      <c r="M106" s="1" t="s">
        <v>10</v>
      </c>
      <c r="N106" s="1">
        <v>1</v>
      </c>
      <c r="P106" s="1" t="s">
        <v>54</v>
      </c>
      <c r="Q106" s="1" t="s">
        <v>54</v>
      </c>
      <c r="U106" t="str">
        <f>+UPPER(Tabla1[[#This Row],[MATERIALES_REQUERIDOS]])</f>
        <v/>
      </c>
      <c r="V106" t="str">
        <f>+UPPER(Tabla1[[#This Row],[EQUIPOS_USADOS]])</f>
        <v/>
      </c>
    </row>
    <row r="107" spans="1:22" ht="28.8" x14ac:dyDescent="0.3">
      <c r="A107" s="1" t="s">
        <v>339</v>
      </c>
      <c r="B107" s="1" t="s">
        <v>29</v>
      </c>
      <c r="C107" s="1" t="s">
        <v>21</v>
      </c>
      <c r="D107" s="1" t="s">
        <v>331</v>
      </c>
      <c r="E107" s="1" t="s">
        <v>28</v>
      </c>
      <c r="F107" s="1" t="s">
        <v>340</v>
      </c>
      <c r="G107" s="1">
        <v>1</v>
      </c>
      <c r="H107" s="1">
        <v>2</v>
      </c>
      <c r="I107" s="2">
        <v>46146</v>
      </c>
      <c r="J107" s="2">
        <v>46147</v>
      </c>
      <c r="K107" s="1" t="s">
        <v>22</v>
      </c>
      <c r="L107" s="6">
        <v>1</v>
      </c>
      <c r="M107" s="1" t="s">
        <v>10</v>
      </c>
      <c r="N107" s="1">
        <v>2</v>
      </c>
      <c r="P107" s="1" t="s">
        <v>54</v>
      </c>
      <c r="Q107" s="1" t="s">
        <v>54</v>
      </c>
      <c r="U107" t="str">
        <f>+UPPER(Tabla1[[#This Row],[MATERIALES_REQUERIDOS]])</f>
        <v/>
      </c>
      <c r="V107" t="str">
        <f>+UPPER(Tabla1[[#This Row],[EQUIPOS_USADOS]])</f>
        <v/>
      </c>
    </row>
    <row r="108" spans="1:22" ht="28.8" x14ac:dyDescent="0.3">
      <c r="A108" s="1" t="s">
        <v>341</v>
      </c>
      <c r="B108" s="1" t="s">
        <v>29</v>
      </c>
      <c r="C108" s="1" t="s">
        <v>21</v>
      </c>
      <c r="D108" s="1" t="s">
        <v>331</v>
      </c>
      <c r="E108" s="1" t="s">
        <v>28</v>
      </c>
      <c r="F108" s="1" t="s">
        <v>342</v>
      </c>
      <c r="G108" s="1">
        <v>1</v>
      </c>
      <c r="H108" s="1">
        <v>3</v>
      </c>
      <c r="I108" s="2">
        <v>46146</v>
      </c>
      <c r="J108" s="2">
        <v>46147</v>
      </c>
      <c r="K108" s="1" t="s">
        <v>9</v>
      </c>
      <c r="L108" s="6">
        <v>1</v>
      </c>
      <c r="M108" s="1" t="s">
        <v>10</v>
      </c>
      <c r="N108" s="1">
        <v>3</v>
      </c>
      <c r="P108" s="1" t="s">
        <v>54</v>
      </c>
      <c r="Q108" s="1" t="s">
        <v>54</v>
      </c>
      <c r="U108" t="str">
        <f>+UPPER(Tabla1[[#This Row],[MATERIALES_REQUERIDOS]])</f>
        <v/>
      </c>
      <c r="V108" t="str">
        <f>+UPPER(Tabla1[[#This Row],[EQUIPOS_USADOS]])</f>
        <v/>
      </c>
    </row>
    <row r="109" spans="1:22" ht="28.8" x14ac:dyDescent="0.3">
      <c r="A109" s="1" t="s">
        <v>343</v>
      </c>
      <c r="B109" s="1" t="s">
        <v>29</v>
      </c>
      <c r="C109" s="1" t="s">
        <v>21</v>
      </c>
      <c r="D109" s="1" t="s">
        <v>331</v>
      </c>
      <c r="E109" s="1" t="s">
        <v>28</v>
      </c>
      <c r="F109" s="1" t="s">
        <v>344</v>
      </c>
      <c r="G109" s="1">
        <v>1</v>
      </c>
      <c r="H109" s="1">
        <v>0.3</v>
      </c>
      <c r="I109" s="2">
        <v>46146</v>
      </c>
      <c r="J109" s="2">
        <v>46147</v>
      </c>
      <c r="K109" s="1" t="s">
        <v>9</v>
      </c>
      <c r="L109" s="6">
        <v>1</v>
      </c>
      <c r="M109" s="1" t="s">
        <v>10</v>
      </c>
      <c r="N109" s="1">
        <v>0.25</v>
      </c>
      <c r="P109" s="1" t="s">
        <v>54</v>
      </c>
      <c r="Q109" s="1" t="s">
        <v>54</v>
      </c>
      <c r="U109" t="str">
        <f>+UPPER(Tabla1[[#This Row],[MATERIALES_REQUERIDOS]])</f>
        <v/>
      </c>
      <c r="V109" t="str">
        <f>+UPPER(Tabla1[[#This Row],[EQUIPOS_USADOS]])</f>
        <v/>
      </c>
    </row>
    <row r="110" spans="1:22" ht="28.8" x14ac:dyDescent="0.3">
      <c r="A110" s="1" t="s">
        <v>345</v>
      </c>
      <c r="B110" s="1" t="s">
        <v>29</v>
      </c>
      <c r="C110" s="1" t="s">
        <v>21</v>
      </c>
      <c r="D110" s="1" t="s">
        <v>331</v>
      </c>
      <c r="E110" s="1" t="s">
        <v>28</v>
      </c>
      <c r="F110" s="1" t="s">
        <v>346</v>
      </c>
      <c r="G110" s="1">
        <v>1</v>
      </c>
      <c r="H110" s="1">
        <v>3</v>
      </c>
      <c r="I110" s="2">
        <v>46146</v>
      </c>
      <c r="J110" s="2">
        <v>46147</v>
      </c>
      <c r="K110" s="1" t="s">
        <v>9</v>
      </c>
      <c r="L110" s="6">
        <v>1</v>
      </c>
      <c r="M110" s="1" t="s">
        <v>10</v>
      </c>
      <c r="N110" s="1">
        <v>3</v>
      </c>
      <c r="P110" s="1" t="s">
        <v>54</v>
      </c>
      <c r="Q110" s="1" t="s">
        <v>54</v>
      </c>
      <c r="U110" t="str">
        <f>+UPPER(Tabla1[[#This Row],[MATERIALES_REQUERIDOS]])</f>
        <v/>
      </c>
      <c r="V110" t="str">
        <f>+UPPER(Tabla1[[#This Row],[EQUIPOS_USADOS]])</f>
        <v/>
      </c>
    </row>
    <row r="111" spans="1:22" ht="43.2" x14ac:dyDescent="0.3">
      <c r="A111" s="1" t="s">
        <v>347</v>
      </c>
      <c r="B111" s="1" t="s">
        <v>29</v>
      </c>
      <c r="C111" s="1" t="s">
        <v>21</v>
      </c>
      <c r="D111" s="1" t="s">
        <v>331</v>
      </c>
      <c r="E111" s="1" t="s">
        <v>28</v>
      </c>
      <c r="F111" s="1" t="s">
        <v>348</v>
      </c>
      <c r="G111" s="1">
        <v>1</v>
      </c>
      <c r="H111" s="1">
        <v>0.3</v>
      </c>
      <c r="I111" s="2">
        <v>46146</v>
      </c>
      <c r="J111" s="2">
        <v>46147</v>
      </c>
      <c r="K111" s="1" t="s">
        <v>9</v>
      </c>
      <c r="L111" s="6">
        <v>1</v>
      </c>
      <c r="M111" s="1" t="s">
        <v>10</v>
      </c>
      <c r="N111" s="1">
        <v>0.25</v>
      </c>
      <c r="P111" s="1" t="s">
        <v>54</v>
      </c>
      <c r="Q111" s="1" t="s">
        <v>54</v>
      </c>
      <c r="U111" t="str">
        <f>+UPPER(Tabla1[[#This Row],[MATERIALES_REQUERIDOS]])</f>
        <v/>
      </c>
      <c r="V111" t="str">
        <f>+UPPER(Tabla1[[#This Row],[EQUIPOS_USADOS]])</f>
        <v/>
      </c>
    </row>
    <row r="112" spans="1:22" ht="43.2" x14ac:dyDescent="0.3">
      <c r="A112" s="1" t="s">
        <v>349</v>
      </c>
      <c r="B112" s="1" t="s">
        <v>29</v>
      </c>
      <c r="C112" s="1" t="s">
        <v>21</v>
      </c>
      <c r="D112" s="1" t="s">
        <v>331</v>
      </c>
      <c r="E112" s="1" t="s">
        <v>28</v>
      </c>
      <c r="F112" s="1" t="s">
        <v>350</v>
      </c>
      <c r="G112" s="1">
        <v>1</v>
      </c>
      <c r="H112" s="1">
        <v>1</v>
      </c>
      <c r="I112" s="2">
        <v>46146</v>
      </c>
      <c r="J112" s="2">
        <v>46147</v>
      </c>
      <c r="K112" s="1" t="s">
        <v>9</v>
      </c>
      <c r="L112" s="6">
        <v>1</v>
      </c>
      <c r="M112" s="1" t="s">
        <v>10</v>
      </c>
      <c r="N112" s="1">
        <v>1</v>
      </c>
      <c r="P112" s="1" t="s">
        <v>54</v>
      </c>
      <c r="Q112" s="1" t="s">
        <v>54</v>
      </c>
      <c r="R112" s="1" t="s">
        <v>351</v>
      </c>
      <c r="U112" t="str">
        <f>+UPPER(Tabla1[[#This Row],[MATERIALES_REQUERIDOS]])</f>
        <v/>
      </c>
      <c r="V112" t="str">
        <f>+UPPER(Tabla1[[#This Row],[EQUIPOS_USADOS]])</f>
        <v/>
      </c>
    </row>
    <row r="113" spans="1:22" ht="28.8" x14ac:dyDescent="0.3">
      <c r="A113" s="1" t="s">
        <v>352</v>
      </c>
      <c r="B113" s="1" t="s">
        <v>29</v>
      </c>
      <c r="C113" s="1" t="s">
        <v>21</v>
      </c>
      <c r="D113" s="1" t="s">
        <v>353</v>
      </c>
      <c r="E113" s="1" t="s">
        <v>28</v>
      </c>
      <c r="F113" s="1" t="s">
        <v>354</v>
      </c>
      <c r="G113" s="1">
        <v>1</v>
      </c>
      <c r="H113" s="1">
        <v>2</v>
      </c>
      <c r="I113" s="2">
        <v>46148</v>
      </c>
      <c r="J113" s="2">
        <v>46149</v>
      </c>
      <c r="K113" s="1" t="s">
        <v>9</v>
      </c>
      <c r="L113" s="6">
        <v>0</v>
      </c>
      <c r="M113" s="1" t="s">
        <v>10</v>
      </c>
      <c r="P113" s="1" t="s">
        <v>54</v>
      </c>
      <c r="Q113" s="1" t="s">
        <v>54</v>
      </c>
      <c r="U113" t="str">
        <f>+UPPER(Tabla1[[#This Row],[MATERIALES_REQUERIDOS]])</f>
        <v/>
      </c>
      <c r="V113" t="str">
        <f>+UPPER(Tabla1[[#This Row],[EQUIPOS_USADOS]])</f>
        <v/>
      </c>
    </row>
    <row r="114" spans="1:22" ht="28.8" x14ac:dyDescent="0.3">
      <c r="A114" s="1" t="s">
        <v>355</v>
      </c>
      <c r="B114" s="1" t="s">
        <v>29</v>
      </c>
      <c r="C114" s="1" t="s">
        <v>21</v>
      </c>
      <c r="D114" s="1" t="s">
        <v>353</v>
      </c>
      <c r="E114" s="1" t="s">
        <v>28</v>
      </c>
      <c r="F114" s="1" t="s">
        <v>356</v>
      </c>
      <c r="G114" s="1">
        <v>1</v>
      </c>
      <c r="H114" s="1">
        <v>1</v>
      </c>
      <c r="I114" s="2">
        <v>46148</v>
      </c>
      <c r="J114" s="2">
        <v>46149</v>
      </c>
      <c r="K114" s="1" t="s">
        <v>9</v>
      </c>
      <c r="L114" s="6">
        <v>0</v>
      </c>
      <c r="M114" s="1" t="s">
        <v>10</v>
      </c>
      <c r="P114" s="1" t="s">
        <v>54</v>
      </c>
      <c r="Q114" s="1" t="s">
        <v>54</v>
      </c>
      <c r="U114" t="str">
        <f>+UPPER(Tabla1[[#This Row],[MATERIALES_REQUERIDOS]])</f>
        <v/>
      </c>
      <c r="V114" t="str">
        <f>+UPPER(Tabla1[[#This Row],[EQUIPOS_USADOS]])</f>
        <v/>
      </c>
    </row>
    <row r="115" spans="1:22" ht="28.8" x14ac:dyDescent="0.3">
      <c r="A115" s="1" t="s">
        <v>357</v>
      </c>
      <c r="B115" s="1" t="s">
        <v>29</v>
      </c>
      <c r="C115" s="1" t="s">
        <v>21</v>
      </c>
      <c r="D115" s="1" t="s">
        <v>353</v>
      </c>
      <c r="E115" s="1" t="s">
        <v>28</v>
      </c>
      <c r="F115" s="1" t="s">
        <v>358</v>
      </c>
      <c r="G115" s="1">
        <v>1</v>
      </c>
      <c r="H115" s="1">
        <v>1</v>
      </c>
      <c r="I115" s="2">
        <v>46148</v>
      </c>
      <c r="J115" s="2">
        <v>46149</v>
      </c>
      <c r="K115" s="1" t="s">
        <v>9</v>
      </c>
      <c r="L115" s="6">
        <v>0</v>
      </c>
      <c r="M115" s="1" t="s">
        <v>10</v>
      </c>
      <c r="P115" s="1" t="s">
        <v>54</v>
      </c>
      <c r="Q115" s="1" t="s">
        <v>54</v>
      </c>
      <c r="U115" t="str">
        <f>+UPPER(Tabla1[[#This Row],[MATERIALES_REQUERIDOS]])</f>
        <v/>
      </c>
      <c r="V115" t="str">
        <f>+UPPER(Tabla1[[#This Row],[EQUIPOS_USADOS]])</f>
        <v/>
      </c>
    </row>
    <row r="116" spans="1:22" ht="28.8" x14ac:dyDescent="0.3">
      <c r="A116" s="1" t="s">
        <v>359</v>
      </c>
      <c r="B116" s="1" t="s">
        <v>29</v>
      </c>
      <c r="C116" s="1" t="s">
        <v>21</v>
      </c>
      <c r="D116" s="1" t="s">
        <v>353</v>
      </c>
      <c r="E116" s="1" t="s">
        <v>28</v>
      </c>
      <c r="F116" s="1" t="s">
        <v>360</v>
      </c>
      <c r="G116" s="1">
        <v>1</v>
      </c>
      <c r="H116" s="1">
        <v>1</v>
      </c>
      <c r="I116" s="2">
        <v>46148</v>
      </c>
      <c r="J116" s="2">
        <v>46149</v>
      </c>
      <c r="K116" s="1" t="s">
        <v>9</v>
      </c>
      <c r="L116" s="6">
        <v>0</v>
      </c>
      <c r="M116" s="1" t="s">
        <v>10</v>
      </c>
      <c r="P116" s="1" t="s">
        <v>54</v>
      </c>
      <c r="Q116" s="1" t="s">
        <v>54</v>
      </c>
      <c r="U116" t="str">
        <f>+UPPER(Tabla1[[#This Row],[MATERIALES_REQUERIDOS]])</f>
        <v/>
      </c>
      <c r="V116" t="str">
        <f>+UPPER(Tabla1[[#This Row],[EQUIPOS_USADOS]])</f>
        <v/>
      </c>
    </row>
    <row r="117" spans="1:22" ht="28.8" x14ac:dyDescent="0.3">
      <c r="A117" s="1" t="s">
        <v>361</v>
      </c>
      <c r="B117" s="1" t="s">
        <v>29</v>
      </c>
      <c r="C117" s="1" t="s">
        <v>21</v>
      </c>
      <c r="D117" s="1" t="s">
        <v>353</v>
      </c>
      <c r="E117" s="1" t="s">
        <v>28</v>
      </c>
      <c r="F117" s="1" t="s">
        <v>362</v>
      </c>
      <c r="G117" s="1">
        <v>1</v>
      </c>
      <c r="H117" s="1">
        <v>2</v>
      </c>
      <c r="I117" s="2">
        <v>46148</v>
      </c>
      <c r="J117" s="2">
        <v>46149</v>
      </c>
      <c r="K117" s="1" t="s">
        <v>9</v>
      </c>
      <c r="L117" s="6">
        <v>0</v>
      </c>
      <c r="M117" s="1" t="s">
        <v>10</v>
      </c>
      <c r="P117" s="1" t="s">
        <v>54</v>
      </c>
      <c r="Q117" s="1" t="s">
        <v>54</v>
      </c>
      <c r="U117" t="str">
        <f>+UPPER(Tabla1[[#This Row],[MATERIALES_REQUERIDOS]])</f>
        <v/>
      </c>
      <c r="V117" t="str">
        <f>+UPPER(Tabla1[[#This Row],[EQUIPOS_USADOS]])</f>
        <v/>
      </c>
    </row>
    <row r="118" spans="1:22" ht="28.8" x14ac:dyDescent="0.3">
      <c r="A118" s="1" t="s">
        <v>363</v>
      </c>
      <c r="B118" s="1" t="s">
        <v>29</v>
      </c>
      <c r="C118" s="1" t="s">
        <v>21</v>
      </c>
      <c r="D118" s="1" t="s">
        <v>353</v>
      </c>
      <c r="E118" s="1" t="s">
        <v>28</v>
      </c>
      <c r="F118" s="1" t="s">
        <v>364</v>
      </c>
      <c r="G118" s="1">
        <v>1</v>
      </c>
      <c r="H118" s="1">
        <v>3</v>
      </c>
      <c r="I118" s="2">
        <v>46148</v>
      </c>
      <c r="J118" s="2">
        <v>46149</v>
      </c>
      <c r="K118" s="1" t="s">
        <v>9</v>
      </c>
      <c r="L118" s="6">
        <v>0</v>
      </c>
      <c r="M118" s="1" t="s">
        <v>10</v>
      </c>
      <c r="P118" s="1" t="s">
        <v>54</v>
      </c>
      <c r="Q118" s="1" t="s">
        <v>54</v>
      </c>
      <c r="U118" t="str">
        <f>+UPPER(Tabla1[[#This Row],[MATERIALES_REQUERIDOS]])</f>
        <v/>
      </c>
      <c r="V118" t="str">
        <f>+UPPER(Tabla1[[#This Row],[EQUIPOS_USADOS]])</f>
        <v/>
      </c>
    </row>
    <row r="119" spans="1:22" ht="28.8" x14ac:dyDescent="0.3">
      <c r="A119" s="1" t="s">
        <v>365</v>
      </c>
      <c r="B119" s="1" t="s">
        <v>29</v>
      </c>
      <c r="C119" s="1" t="s">
        <v>21</v>
      </c>
      <c r="D119" s="1" t="s">
        <v>353</v>
      </c>
      <c r="E119" s="1" t="s">
        <v>28</v>
      </c>
      <c r="F119" s="1" t="s">
        <v>366</v>
      </c>
      <c r="G119" s="1">
        <v>1</v>
      </c>
      <c r="H119" s="1">
        <v>0.3</v>
      </c>
      <c r="I119" s="2">
        <v>46148</v>
      </c>
      <c r="J119" s="2">
        <v>46149</v>
      </c>
      <c r="K119" s="1" t="s">
        <v>9</v>
      </c>
      <c r="L119" s="6">
        <v>0</v>
      </c>
      <c r="M119" s="1" t="s">
        <v>10</v>
      </c>
      <c r="P119" s="1" t="s">
        <v>54</v>
      </c>
      <c r="Q119" s="1" t="s">
        <v>54</v>
      </c>
      <c r="U119" t="str">
        <f>+UPPER(Tabla1[[#This Row],[MATERIALES_REQUERIDOS]])</f>
        <v/>
      </c>
      <c r="V119" t="str">
        <f>+UPPER(Tabla1[[#This Row],[EQUIPOS_USADOS]])</f>
        <v/>
      </c>
    </row>
    <row r="120" spans="1:22" ht="28.8" x14ac:dyDescent="0.3">
      <c r="A120" s="1" t="s">
        <v>367</v>
      </c>
      <c r="B120" s="1" t="s">
        <v>29</v>
      </c>
      <c r="C120" s="1" t="s">
        <v>21</v>
      </c>
      <c r="D120" s="1" t="s">
        <v>353</v>
      </c>
      <c r="E120" s="1" t="s">
        <v>28</v>
      </c>
      <c r="F120" s="1" t="s">
        <v>368</v>
      </c>
      <c r="G120" s="1">
        <v>1</v>
      </c>
      <c r="H120" s="1">
        <v>3</v>
      </c>
      <c r="I120" s="2">
        <v>46148</v>
      </c>
      <c r="J120" s="2">
        <v>46149</v>
      </c>
      <c r="K120" s="1" t="s">
        <v>9</v>
      </c>
      <c r="L120" s="6">
        <v>0</v>
      </c>
      <c r="M120" s="1" t="s">
        <v>10</v>
      </c>
      <c r="P120" s="1" t="s">
        <v>54</v>
      </c>
      <c r="Q120" s="1" t="s">
        <v>54</v>
      </c>
      <c r="U120" t="str">
        <f>+UPPER(Tabla1[[#This Row],[MATERIALES_REQUERIDOS]])</f>
        <v/>
      </c>
      <c r="V120" t="str">
        <f>+UPPER(Tabla1[[#This Row],[EQUIPOS_USADOS]])</f>
        <v/>
      </c>
    </row>
    <row r="121" spans="1:22" ht="43.2" x14ac:dyDescent="0.3">
      <c r="A121" s="1" t="s">
        <v>369</v>
      </c>
      <c r="B121" s="1" t="s">
        <v>29</v>
      </c>
      <c r="C121" s="1" t="s">
        <v>21</v>
      </c>
      <c r="D121" s="1" t="s">
        <v>353</v>
      </c>
      <c r="E121" s="1" t="s">
        <v>28</v>
      </c>
      <c r="F121" s="1" t="s">
        <v>370</v>
      </c>
      <c r="G121" s="1">
        <v>1</v>
      </c>
      <c r="H121" s="1">
        <v>0.3</v>
      </c>
      <c r="I121" s="2">
        <v>46148</v>
      </c>
      <c r="J121" s="2">
        <v>46149</v>
      </c>
      <c r="K121" s="1" t="s">
        <v>9</v>
      </c>
      <c r="L121" s="6">
        <v>0</v>
      </c>
      <c r="M121" s="1" t="s">
        <v>10</v>
      </c>
      <c r="P121" s="1" t="s">
        <v>54</v>
      </c>
      <c r="Q121" s="1" t="s">
        <v>54</v>
      </c>
      <c r="U121" t="str">
        <f>+UPPER(Tabla1[[#This Row],[MATERIALES_REQUERIDOS]])</f>
        <v/>
      </c>
      <c r="V121" t="str">
        <f>+UPPER(Tabla1[[#This Row],[EQUIPOS_USADOS]])</f>
        <v/>
      </c>
    </row>
    <row r="122" spans="1:22" ht="28.8" x14ac:dyDescent="0.3">
      <c r="A122" s="1" t="s">
        <v>371</v>
      </c>
      <c r="B122" s="1" t="s">
        <v>29</v>
      </c>
      <c r="C122" s="1" t="s">
        <v>21</v>
      </c>
      <c r="D122" s="1" t="s">
        <v>353</v>
      </c>
      <c r="E122" s="1" t="s">
        <v>28</v>
      </c>
      <c r="F122" s="1" t="s">
        <v>372</v>
      </c>
      <c r="G122" s="1">
        <v>1</v>
      </c>
      <c r="H122" s="1">
        <v>1</v>
      </c>
      <c r="I122" s="2">
        <v>46148</v>
      </c>
      <c r="J122" s="2">
        <v>46149</v>
      </c>
      <c r="K122" s="1" t="s">
        <v>9</v>
      </c>
      <c r="L122" s="6">
        <v>0</v>
      </c>
      <c r="M122" s="1" t="s">
        <v>10</v>
      </c>
      <c r="P122" s="1" t="s">
        <v>54</v>
      </c>
      <c r="Q122" s="1" t="s">
        <v>54</v>
      </c>
      <c r="U122" t="str">
        <f>+UPPER(Tabla1[[#This Row],[MATERIALES_REQUERIDOS]])</f>
        <v/>
      </c>
      <c r="V122" t="str">
        <f>+UPPER(Tabla1[[#This Row],[EQUIPOS_USADOS]])</f>
        <v/>
      </c>
    </row>
    <row r="123" spans="1:22" ht="43.2" x14ac:dyDescent="0.3">
      <c r="A123" s="1" t="s">
        <v>373</v>
      </c>
      <c r="B123" s="1" t="s">
        <v>29</v>
      </c>
      <c r="C123" s="1" t="s">
        <v>30</v>
      </c>
      <c r="D123" s="1" t="s">
        <v>374</v>
      </c>
      <c r="E123" s="1" t="s">
        <v>28</v>
      </c>
      <c r="F123" s="1" t="s">
        <v>375</v>
      </c>
      <c r="G123" s="1">
        <v>3</v>
      </c>
      <c r="H123" s="1">
        <v>3</v>
      </c>
      <c r="I123" s="2">
        <v>46146</v>
      </c>
      <c r="J123" s="2">
        <v>46148</v>
      </c>
      <c r="K123" s="1" t="s">
        <v>13</v>
      </c>
      <c r="L123" s="6">
        <v>1</v>
      </c>
      <c r="M123" s="1" t="s">
        <v>10</v>
      </c>
      <c r="N123" s="1">
        <v>1.5</v>
      </c>
      <c r="P123" s="1" t="s">
        <v>54</v>
      </c>
      <c r="Q123" s="1" t="s">
        <v>54</v>
      </c>
      <c r="U123" t="str">
        <f>+UPPER(Tabla1[[#This Row],[MATERIALES_REQUERIDOS]])</f>
        <v/>
      </c>
      <c r="V123" t="str">
        <f>+UPPER(Tabla1[[#This Row],[EQUIPOS_USADOS]])</f>
        <v/>
      </c>
    </row>
    <row r="124" spans="1:22" ht="43.2" x14ac:dyDescent="0.3">
      <c r="A124" s="1" t="s">
        <v>376</v>
      </c>
      <c r="B124" s="1" t="s">
        <v>29</v>
      </c>
      <c r="C124" s="1" t="s">
        <v>30</v>
      </c>
      <c r="D124" s="1" t="s">
        <v>374</v>
      </c>
      <c r="E124" s="1" t="s">
        <v>28</v>
      </c>
      <c r="F124" s="1" t="s">
        <v>377</v>
      </c>
      <c r="G124" s="1">
        <v>3</v>
      </c>
      <c r="H124" s="1">
        <v>1</v>
      </c>
      <c r="I124" s="2">
        <v>46146</v>
      </c>
      <c r="J124" s="2">
        <v>46148</v>
      </c>
      <c r="K124" s="1" t="s">
        <v>22</v>
      </c>
      <c r="L124" s="6">
        <v>1</v>
      </c>
      <c r="M124" s="1" t="s">
        <v>10</v>
      </c>
      <c r="N124" s="1">
        <v>1</v>
      </c>
      <c r="P124" s="1" t="s">
        <v>54</v>
      </c>
      <c r="Q124" s="1" t="s">
        <v>54</v>
      </c>
      <c r="U124" t="str">
        <f>+UPPER(Tabla1[[#This Row],[MATERIALES_REQUERIDOS]])</f>
        <v/>
      </c>
      <c r="V124" t="str">
        <f>+UPPER(Tabla1[[#This Row],[EQUIPOS_USADOS]])</f>
        <v/>
      </c>
    </row>
    <row r="125" spans="1:22" ht="43.2" x14ac:dyDescent="0.3">
      <c r="A125" s="1" t="s">
        <v>378</v>
      </c>
      <c r="B125" s="1" t="s">
        <v>29</v>
      </c>
      <c r="C125" s="1" t="s">
        <v>30</v>
      </c>
      <c r="D125" s="1" t="s">
        <v>374</v>
      </c>
      <c r="E125" s="1" t="s">
        <v>28</v>
      </c>
      <c r="F125" s="1" t="s">
        <v>379</v>
      </c>
      <c r="G125" s="1">
        <v>3</v>
      </c>
      <c r="H125" s="1">
        <v>1</v>
      </c>
      <c r="I125" s="2">
        <v>46146</v>
      </c>
      <c r="J125" s="2">
        <v>46148</v>
      </c>
      <c r="K125" s="1" t="s">
        <v>22</v>
      </c>
      <c r="L125" s="6">
        <v>1</v>
      </c>
      <c r="M125" s="1" t="s">
        <v>10</v>
      </c>
      <c r="N125" s="1">
        <v>0.3</v>
      </c>
      <c r="P125" s="1" t="s">
        <v>54</v>
      </c>
      <c r="Q125" s="1" t="s">
        <v>54</v>
      </c>
      <c r="U125" t="str">
        <f>+UPPER(Tabla1[[#This Row],[MATERIALES_REQUERIDOS]])</f>
        <v/>
      </c>
      <c r="V125" t="str">
        <f>+UPPER(Tabla1[[#This Row],[EQUIPOS_USADOS]])</f>
        <v/>
      </c>
    </row>
    <row r="126" spans="1:22" ht="28.8" x14ac:dyDescent="0.3">
      <c r="A126" s="1" t="s">
        <v>380</v>
      </c>
      <c r="B126" s="1" t="s">
        <v>29</v>
      </c>
      <c r="C126" s="1" t="s">
        <v>30</v>
      </c>
      <c r="D126" s="1" t="s">
        <v>374</v>
      </c>
      <c r="E126" s="1" t="s">
        <v>28</v>
      </c>
      <c r="F126" s="1" t="s">
        <v>381</v>
      </c>
      <c r="G126" s="1">
        <v>3</v>
      </c>
      <c r="H126" s="1">
        <v>3</v>
      </c>
      <c r="I126" s="2">
        <v>46146</v>
      </c>
      <c r="J126" s="2">
        <v>46148</v>
      </c>
      <c r="K126" s="1" t="s">
        <v>22</v>
      </c>
      <c r="L126" s="6">
        <v>1</v>
      </c>
      <c r="M126" s="1" t="s">
        <v>10</v>
      </c>
      <c r="N126" s="1">
        <v>1.5</v>
      </c>
      <c r="P126" s="1" t="s">
        <v>54</v>
      </c>
      <c r="Q126" s="1" t="s">
        <v>54</v>
      </c>
      <c r="U126" t="str">
        <f>+UPPER(Tabla1[[#This Row],[MATERIALES_REQUERIDOS]])</f>
        <v/>
      </c>
      <c r="V126" t="str">
        <f>+UPPER(Tabla1[[#This Row],[EQUIPOS_USADOS]])</f>
        <v/>
      </c>
    </row>
    <row r="127" spans="1:22" ht="43.2" x14ac:dyDescent="0.3">
      <c r="A127" s="1" t="s">
        <v>382</v>
      </c>
      <c r="B127" s="1" t="s">
        <v>29</v>
      </c>
      <c r="C127" s="1" t="s">
        <v>30</v>
      </c>
      <c r="D127" s="1" t="s">
        <v>374</v>
      </c>
      <c r="E127" s="1" t="s">
        <v>28</v>
      </c>
      <c r="F127" s="1" t="s">
        <v>383</v>
      </c>
      <c r="G127" s="1">
        <v>3</v>
      </c>
      <c r="H127" s="1">
        <v>8</v>
      </c>
      <c r="I127" s="2">
        <v>46146</v>
      </c>
      <c r="J127" s="2">
        <v>46148</v>
      </c>
      <c r="K127" s="1" t="s">
        <v>22</v>
      </c>
      <c r="L127" s="6">
        <v>1</v>
      </c>
      <c r="M127" s="1" t="s">
        <v>10</v>
      </c>
      <c r="N127" s="1">
        <v>3</v>
      </c>
      <c r="P127" s="1" t="s">
        <v>54</v>
      </c>
      <c r="Q127" s="1" t="s">
        <v>54</v>
      </c>
      <c r="U127" t="str">
        <f>+UPPER(Tabla1[[#This Row],[MATERIALES_REQUERIDOS]])</f>
        <v/>
      </c>
      <c r="V127" t="str">
        <f>+UPPER(Tabla1[[#This Row],[EQUIPOS_USADOS]])</f>
        <v/>
      </c>
    </row>
    <row r="128" spans="1:22" ht="43.2" x14ac:dyDescent="0.3">
      <c r="A128" s="1" t="s">
        <v>384</v>
      </c>
      <c r="B128" s="1" t="s">
        <v>29</v>
      </c>
      <c r="C128" s="1" t="s">
        <v>30</v>
      </c>
      <c r="D128" s="1" t="s">
        <v>374</v>
      </c>
      <c r="E128" s="1" t="s">
        <v>28</v>
      </c>
      <c r="F128" s="1" t="s">
        <v>385</v>
      </c>
      <c r="G128" s="1">
        <v>3</v>
      </c>
      <c r="H128" s="1">
        <v>12</v>
      </c>
      <c r="I128" s="2">
        <v>46146</v>
      </c>
      <c r="J128" s="2">
        <v>46148</v>
      </c>
      <c r="K128" s="1" t="s">
        <v>22</v>
      </c>
      <c r="L128" s="6">
        <v>1</v>
      </c>
      <c r="M128" s="1" t="s">
        <v>10</v>
      </c>
      <c r="P128" s="1" t="s">
        <v>54</v>
      </c>
      <c r="Q128" s="1" t="s">
        <v>54</v>
      </c>
      <c r="U128" t="str">
        <f>+UPPER(Tabla1[[#This Row],[MATERIALES_REQUERIDOS]])</f>
        <v/>
      </c>
      <c r="V128" t="str">
        <f>+UPPER(Tabla1[[#This Row],[EQUIPOS_USADOS]])</f>
        <v/>
      </c>
    </row>
    <row r="129" spans="1:22" ht="43.2" x14ac:dyDescent="0.3">
      <c r="A129" s="1" t="s">
        <v>386</v>
      </c>
      <c r="B129" s="1" t="s">
        <v>29</v>
      </c>
      <c r="C129" s="1" t="s">
        <v>30</v>
      </c>
      <c r="D129" s="1" t="s">
        <v>374</v>
      </c>
      <c r="E129" s="1" t="s">
        <v>28</v>
      </c>
      <c r="F129" s="1" t="s">
        <v>387</v>
      </c>
      <c r="G129" s="1">
        <v>3</v>
      </c>
      <c r="H129" s="1">
        <v>1</v>
      </c>
      <c r="I129" s="2">
        <v>46146</v>
      </c>
      <c r="J129" s="2">
        <v>46148</v>
      </c>
      <c r="K129" s="1" t="s">
        <v>22</v>
      </c>
      <c r="L129" s="6">
        <v>1</v>
      </c>
      <c r="M129" s="1" t="s">
        <v>10</v>
      </c>
      <c r="N129" s="1">
        <v>1</v>
      </c>
      <c r="P129" s="1" t="s">
        <v>54</v>
      </c>
      <c r="Q129" s="1" t="s">
        <v>54</v>
      </c>
      <c r="U129" t="str">
        <f>+UPPER(Tabla1[[#This Row],[MATERIALES_REQUERIDOS]])</f>
        <v/>
      </c>
      <c r="V129" t="str">
        <f>+UPPER(Tabla1[[#This Row],[EQUIPOS_USADOS]])</f>
        <v/>
      </c>
    </row>
    <row r="130" spans="1:22" ht="43.2" x14ac:dyDescent="0.3">
      <c r="A130" s="1" t="s">
        <v>388</v>
      </c>
      <c r="B130" s="1" t="s">
        <v>29</v>
      </c>
      <c r="C130" s="1" t="s">
        <v>30</v>
      </c>
      <c r="D130" s="1" t="s">
        <v>374</v>
      </c>
      <c r="E130" s="1" t="s">
        <v>28</v>
      </c>
      <c r="F130" s="1" t="s">
        <v>389</v>
      </c>
      <c r="G130" s="1">
        <v>3</v>
      </c>
      <c r="H130" s="1">
        <v>1</v>
      </c>
      <c r="I130" s="2">
        <v>46146</v>
      </c>
      <c r="J130" s="2">
        <v>46148</v>
      </c>
      <c r="K130" s="1" t="s">
        <v>13</v>
      </c>
      <c r="L130" s="6">
        <v>0.5</v>
      </c>
      <c r="M130" s="1" t="s">
        <v>10</v>
      </c>
      <c r="P130" s="1" t="s">
        <v>54</v>
      </c>
      <c r="Q130" s="1" t="s">
        <v>54</v>
      </c>
      <c r="U130" t="str">
        <f>+UPPER(Tabla1[[#This Row],[MATERIALES_REQUERIDOS]])</f>
        <v/>
      </c>
      <c r="V130" t="str">
        <f>+UPPER(Tabla1[[#This Row],[EQUIPOS_USADOS]])</f>
        <v/>
      </c>
    </row>
    <row r="131" spans="1:22" ht="43.2" x14ac:dyDescent="0.3">
      <c r="A131" s="1" t="s">
        <v>390</v>
      </c>
      <c r="B131" s="1" t="s">
        <v>29</v>
      </c>
      <c r="C131" s="1" t="s">
        <v>30</v>
      </c>
      <c r="D131" s="1" t="s">
        <v>391</v>
      </c>
      <c r="E131" s="1" t="s">
        <v>28</v>
      </c>
      <c r="F131" s="1" t="s">
        <v>392</v>
      </c>
      <c r="G131" s="1">
        <v>3</v>
      </c>
      <c r="H131" s="1">
        <v>2</v>
      </c>
      <c r="I131" s="2">
        <v>46146</v>
      </c>
      <c r="J131" s="2">
        <v>46147</v>
      </c>
      <c r="K131" s="1" t="s">
        <v>9</v>
      </c>
      <c r="L131" s="6">
        <v>0</v>
      </c>
      <c r="M131" s="1" t="s">
        <v>10</v>
      </c>
      <c r="O131" s="1" t="s">
        <v>19</v>
      </c>
      <c r="P131" s="1" t="s">
        <v>54</v>
      </c>
      <c r="Q131" s="1" t="s">
        <v>54</v>
      </c>
      <c r="R131" s="1" t="s">
        <v>393</v>
      </c>
      <c r="U131" t="str">
        <f>+UPPER(Tabla1[[#This Row],[MATERIALES_REQUERIDOS]])</f>
        <v/>
      </c>
      <c r="V131" t="str">
        <f>+UPPER(Tabla1[[#This Row],[EQUIPOS_USADOS]])</f>
        <v/>
      </c>
    </row>
    <row r="132" spans="1:22" ht="43.2" x14ac:dyDescent="0.3">
      <c r="A132" s="1" t="s">
        <v>394</v>
      </c>
      <c r="B132" s="1" t="s">
        <v>29</v>
      </c>
      <c r="C132" s="1" t="s">
        <v>30</v>
      </c>
      <c r="D132" s="1" t="s">
        <v>391</v>
      </c>
      <c r="E132" s="1" t="s">
        <v>28</v>
      </c>
      <c r="F132" s="1" t="s">
        <v>395</v>
      </c>
      <c r="G132" s="1">
        <v>3</v>
      </c>
      <c r="H132" s="1">
        <v>2</v>
      </c>
      <c r="I132" s="2">
        <v>46146</v>
      </c>
      <c r="J132" s="2">
        <v>46147</v>
      </c>
      <c r="K132" s="1" t="s">
        <v>9</v>
      </c>
      <c r="L132" s="6">
        <v>0</v>
      </c>
      <c r="M132" s="1" t="s">
        <v>10</v>
      </c>
      <c r="O132" s="1" t="s">
        <v>19</v>
      </c>
      <c r="P132" s="1" t="s">
        <v>54</v>
      </c>
      <c r="Q132" s="1" t="s">
        <v>54</v>
      </c>
      <c r="R132" s="1" t="s">
        <v>393</v>
      </c>
      <c r="U132" t="str">
        <f>+UPPER(Tabla1[[#This Row],[MATERIALES_REQUERIDOS]])</f>
        <v/>
      </c>
      <c r="V132" t="str">
        <f>+UPPER(Tabla1[[#This Row],[EQUIPOS_USADOS]])</f>
        <v/>
      </c>
    </row>
    <row r="133" spans="1:22" ht="43.2" x14ac:dyDescent="0.3">
      <c r="A133" s="1" t="s">
        <v>396</v>
      </c>
      <c r="B133" s="1" t="s">
        <v>29</v>
      </c>
      <c r="C133" s="1" t="s">
        <v>30</v>
      </c>
      <c r="D133" s="1" t="s">
        <v>391</v>
      </c>
      <c r="E133" s="1" t="s">
        <v>28</v>
      </c>
      <c r="F133" s="1" t="s">
        <v>397</v>
      </c>
      <c r="G133" s="1">
        <v>3</v>
      </c>
      <c r="H133" s="1">
        <v>4</v>
      </c>
      <c r="I133" s="2">
        <v>46146</v>
      </c>
      <c r="J133" s="2">
        <v>46147</v>
      </c>
      <c r="K133" s="1" t="s">
        <v>9</v>
      </c>
      <c r="L133" s="6">
        <v>0</v>
      </c>
      <c r="M133" s="1" t="s">
        <v>10</v>
      </c>
      <c r="O133" s="1" t="s">
        <v>19</v>
      </c>
      <c r="P133" s="1" t="s">
        <v>54</v>
      </c>
      <c r="Q133" s="1" t="s">
        <v>54</v>
      </c>
      <c r="R133" s="1" t="s">
        <v>393</v>
      </c>
      <c r="U133" t="str">
        <f>+UPPER(Tabla1[[#This Row],[MATERIALES_REQUERIDOS]])</f>
        <v/>
      </c>
      <c r="V133" t="str">
        <f>+UPPER(Tabla1[[#This Row],[EQUIPOS_USADOS]])</f>
        <v/>
      </c>
    </row>
    <row r="134" spans="1:22" ht="43.2" x14ac:dyDescent="0.3">
      <c r="A134" s="1" t="s">
        <v>398</v>
      </c>
      <c r="B134" s="1" t="s">
        <v>29</v>
      </c>
      <c r="C134" s="1" t="s">
        <v>30</v>
      </c>
      <c r="D134" s="1" t="s">
        <v>391</v>
      </c>
      <c r="E134" s="1" t="s">
        <v>28</v>
      </c>
      <c r="F134" s="1" t="s">
        <v>399</v>
      </c>
      <c r="G134" s="1">
        <v>3</v>
      </c>
      <c r="H134" s="1">
        <v>2</v>
      </c>
      <c r="I134" s="2">
        <v>46146</v>
      </c>
      <c r="J134" s="2">
        <v>46147</v>
      </c>
      <c r="K134" s="1" t="s">
        <v>9</v>
      </c>
      <c r="L134" s="6">
        <v>0</v>
      </c>
      <c r="M134" s="1" t="s">
        <v>10</v>
      </c>
      <c r="O134" s="1" t="s">
        <v>19</v>
      </c>
      <c r="P134" s="1" t="s">
        <v>54</v>
      </c>
      <c r="Q134" s="1" t="s">
        <v>54</v>
      </c>
      <c r="R134" s="1" t="s">
        <v>393</v>
      </c>
      <c r="U134" t="str">
        <f>+UPPER(Tabla1[[#This Row],[MATERIALES_REQUERIDOS]])</f>
        <v/>
      </c>
      <c r="V134" t="str">
        <f>+UPPER(Tabla1[[#This Row],[EQUIPOS_USADOS]])</f>
        <v/>
      </c>
    </row>
    <row r="135" spans="1:22" ht="43.2" x14ac:dyDescent="0.3">
      <c r="A135" s="1" t="s">
        <v>400</v>
      </c>
      <c r="B135" s="1" t="s">
        <v>29</v>
      </c>
      <c r="C135" s="1" t="s">
        <v>30</v>
      </c>
      <c r="D135" s="1" t="s">
        <v>391</v>
      </c>
      <c r="E135" s="1" t="s">
        <v>28</v>
      </c>
      <c r="F135" s="1" t="s">
        <v>401</v>
      </c>
      <c r="G135" s="1">
        <v>3</v>
      </c>
      <c r="H135" s="1">
        <v>3</v>
      </c>
      <c r="I135" s="2">
        <v>46146</v>
      </c>
      <c r="J135" s="2">
        <v>46147</v>
      </c>
      <c r="K135" s="1" t="s">
        <v>9</v>
      </c>
      <c r="L135" s="6">
        <v>0</v>
      </c>
      <c r="M135" s="1" t="s">
        <v>10</v>
      </c>
      <c r="O135" s="1" t="s">
        <v>19</v>
      </c>
      <c r="P135" s="1" t="s">
        <v>54</v>
      </c>
      <c r="Q135" s="1" t="s">
        <v>54</v>
      </c>
      <c r="R135" s="1" t="s">
        <v>393</v>
      </c>
      <c r="U135" t="str">
        <f>+UPPER(Tabla1[[#This Row],[MATERIALES_REQUERIDOS]])</f>
        <v/>
      </c>
      <c r="V135" t="str">
        <f>+UPPER(Tabla1[[#This Row],[EQUIPOS_USADOS]])</f>
        <v/>
      </c>
    </row>
    <row r="136" spans="1:22" ht="43.2" x14ac:dyDescent="0.3">
      <c r="A136" s="1" t="s">
        <v>402</v>
      </c>
      <c r="B136" s="1" t="s">
        <v>29</v>
      </c>
      <c r="C136" s="1" t="s">
        <v>30</v>
      </c>
      <c r="D136" s="1" t="s">
        <v>391</v>
      </c>
      <c r="E136" s="1" t="s">
        <v>28</v>
      </c>
      <c r="F136" s="1" t="s">
        <v>403</v>
      </c>
      <c r="G136" s="1">
        <v>3</v>
      </c>
      <c r="H136" s="1">
        <v>1</v>
      </c>
      <c r="I136" s="2">
        <v>46146</v>
      </c>
      <c r="J136" s="2">
        <v>46147</v>
      </c>
      <c r="K136" s="1" t="s">
        <v>9</v>
      </c>
      <c r="L136" s="6">
        <v>0</v>
      </c>
      <c r="M136" s="1" t="s">
        <v>10</v>
      </c>
      <c r="O136" s="1" t="s">
        <v>19</v>
      </c>
      <c r="P136" s="1" t="s">
        <v>54</v>
      </c>
      <c r="Q136" s="1" t="s">
        <v>54</v>
      </c>
      <c r="R136" s="1" t="s">
        <v>393</v>
      </c>
      <c r="U136" t="str">
        <f>+UPPER(Tabla1[[#This Row],[MATERIALES_REQUERIDOS]])</f>
        <v/>
      </c>
      <c r="V136" t="str">
        <f>+UPPER(Tabla1[[#This Row],[EQUIPOS_USADOS]])</f>
        <v/>
      </c>
    </row>
    <row r="137" spans="1:22" ht="43.2" x14ac:dyDescent="0.3">
      <c r="A137" s="1" t="s">
        <v>404</v>
      </c>
      <c r="B137" s="1" t="s">
        <v>29</v>
      </c>
      <c r="C137" s="1" t="s">
        <v>30</v>
      </c>
      <c r="D137" s="1" t="s">
        <v>391</v>
      </c>
      <c r="E137" s="1" t="s">
        <v>28</v>
      </c>
      <c r="F137" s="1" t="s">
        <v>405</v>
      </c>
      <c r="G137" s="1">
        <v>3</v>
      </c>
      <c r="H137" s="1">
        <v>2</v>
      </c>
      <c r="I137" s="2">
        <v>46146</v>
      </c>
      <c r="J137" s="2">
        <v>46147</v>
      </c>
      <c r="K137" s="1" t="s">
        <v>9</v>
      </c>
      <c r="L137" s="6">
        <v>0</v>
      </c>
      <c r="M137" s="1" t="s">
        <v>10</v>
      </c>
      <c r="O137" s="1" t="s">
        <v>19</v>
      </c>
      <c r="P137" s="1" t="s">
        <v>54</v>
      </c>
      <c r="Q137" s="1" t="s">
        <v>54</v>
      </c>
      <c r="R137" s="1" t="s">
        <v>393</v>
      </c>
      <c r="U137" t="str">
        <f>+UPPER(Tabla1[[#This Row],[MATERIALES_REQUERIDOS]])</f>
        <v/>
      </c>
      <c r="V137" t="str">
        <f>+UPPER(Tabla1[[#This Row],[EQUIPOS_USADOS]])</f>
        <v/>
      </c>
    </row>
    <row r="138" spans="1:22" ht="43.2" x14ac:dyDescent="0.3">
      <c r="A138" s="1" t="s">
        <v>406</v>
      </c>
      <c r="B138" s="1" t="s">
        <v>29</v>
      </c>
      <c r="C138" s="1" t="s">
        <v>30</v>
      </c>
      <c r="D138" s="1" t="s">
        <v>407</v>
      </c>
      <c r="E138" s="1" t="s">
        <v>28</v>
      </c>
      <c r="F138" s="1" t="s">
        <v>408</v>
      </c>
      <c r="G138" s="1">
        <v>3</v>
      </c>
      <c r="H138" s="1">
        <v>1</v>
      </c>
      <c r="I138" s="2">
        <v>46148</v>
      </c>
      <c r="J138" s="2">
        <v>46149</v>
      </c>
      <c r="K138" s="1" t="s">
        <v>9</v>
      </c>
      <c r="L138" s="6">
        <v>0</v>
      </c>
      <c r="M138" s="1" t="s">
        <v>10</v>
      </c>
      <c r="P138" s="1" t="s">
        <v>54</v>
      </c>
      <c r="Q138" s="1" t="s">
        <v>54</v>
      </c>
      <c r="U138" t="str">
        <f>+UPPER(Tabla1[[#This Row],[MATERIALES_REQUERIDOS]])</f>
        <v/>
      </c>
      <c r="V138" t="str">
        <f>+UPPER(Tabla1[[#This Row],[EQUIPOS_USADOS]])</f>
        <v/>
      </c>
    </row>
    <row r="139" spans="1:22" ht="43.2" x14ac:dyDescent="0.3">
      <c r="A139" s="1" t="s">
        <v>409</v>
      </c>
      <c r="B139" s="1" t="s">
        <v>29</v>
      </c>
      <c r="C139" s="1" t="s">
        <v>30</v>
      </c>
      <c r="D139" s="1" t="s">
        <v>407</v>
      </c>
      <c r="E139" s="1" t="s">
        <v>28</v>
      </c>
      <c r="F139" s="1" t="s">
        <v>410</v>
      </c>
      <c r="G139" s="1">
        <v>3</v>
      </c>
      <c r="H139" s="1">
        <v>1</v>
      </c>
      <c r="I139" s="2">
        <v>46148</v>
      </c>
      <c r="J139" s="2">
        <v>46149</v>
      </c>
      <c r="K139" s="1" t="s">
        <v>9</v>
      </c>
      <c r="L139" s="6">
        <v>0</v>
      </c>
      <c r="M139" s="1" t="s">
        <v>10</v>
      </c>
      <c r="P139" s="1" t="s">
        <v>54</v>
      </c>
      <c r="Q139" s="1" t="s">
        <v>54</v>
      </c>
      <c r="U139" t="str">
        <f>+UPPER(Tabla1[[#This Row],[MATERIALES_REQUERIDOS]])</f>
        <v/>
      </c>
      <c r="V139" t="str">
        <f>+UPPER(Tabla1[[#This Row],[EQUIPOS_USADOS]])</f>
        <v/>
      </c>
    </row>
    <row r="140" spans="1:22" ht="43.2" x14ac:dyDescent="0.3">
      <c r="A140" s="1" t="s">
        <v>411</v>
      </c>
      <c r="B140" s="1" t="s">
        <v>29</v>
      </c>
      <c r="C140" s="1" t="s">
        <v>30</v>
      </c>
      <c r="D140" s="1" t="s">
        <v>407</v>
      </c>
      <c r="E140" s="1" t="s">
        <v>28</v>
      </c>
      <c r="F140" s="1" t="s">
        <v>412</v>
      </c>
      <c r="G140" s="1">
        <v>3</v>
      </c>
      <c r="H140" s="1">
        <v>2</v>
      </c>
      <c r="I140" s="2">
        <v>46148</v>
      </c>
      <c r="J140" s="2">
        <v>46149</v>
      </c>
      <c r="K140" s="1" t="s">
        <v>9</v>
      </c>
      <c r="L140" s="6">
        <v>0</v>
      </c>
      <c r="M140" s="1" t="s">
        <v>10</v>
      </c>
      <c r="P140" s="1" t="s">
        <v>54</v>
      </c>
      <c r="Q140" s="1" t="s">
        <v>54</v>
      </c>
      <c r="U140" t="str">
        <f>+UPPER(Tabla1[[#This Row],[MATERIALES_REQUERIDOS]])</f>
        <v/>
      </c>
      <c r="V140" t="str">
        <f>+UPPER(Tabla1[[#This Row],[EQUIPOS_USADOS]])</f>
        <v/>
      </c>
    </row>
    <row r="141" spans="1:22" ht="43.2" x14ac:dyDescent="0.3">
      <c r="A141" s="1" t="s">
        <v>413</v>
      </c>
      <c r="B141" s="1" t="s">
        <v>29</v>
      </c>
      <c r="C141" s="1" t="s">
        <v>30</v>
      </c>
      <c r="D141" s="1" t="s">
        <v>407</v>
      </c>
      <c r="E141" s="1" t="s">
        <v>28</v>
      </c>
      <c r="F141" s="1" t="s">
        <v>414</v>
      </c>
      <c r="G141" s="1">
        <v>3</v>
      </c>
      <c r="H141" s="1">
        <v>1</v>
      </c>
      <c r="I141" s="2">
        <v>46148</v>
      </c>
      <c r="J141" s="2">
        <v>46149</v>
      </c>
      <c r="K141" s="1" t="s">
        <v>9</v>
      </c>
      <c r="L141" s="6">
        <v>0</v>
      </c>
      <c r="M141" s="1" t="s">
        <v>10</v>
      </c>
      <c r="P141" s="1" t="s">
        <v>54</v>
      </c>
      <c r="Q141" s="1" t="s">
        <v>54</v>
      </c>
      <c r="U141" t="str">
        <f>+UPPER(Tabla1[[#This Row],[MATERIALES_REQUERIDOS]])</f>
        <v/>
      </c>
      <c r="V141" t="str">
        <f>+UPPER(Tabla1[[#This Row],[EQUIPOS_USADOS]])</f>
        <v/>
      </c>
    </row>
    <row r="142" spans="1:22" ht="43.2" x14ac:dyDescent="0.3">
      <c r="A142" s="1" t="s">
        <v>415</v>
      </c>
      <c r="B142" s="1" t="s">
        <v>29</v>
      </c>
      <c r="C142" s="1" t="s">
        <v>30</v>
      </c>
      <c r="D142" s="1" t="s">
        <v>407</v>
      </c>
      <c r="E142" s="1" t="s">
        <v>28</v>
      </c>
      <c r="F142" s="1" t="s">
        <v>416</v>
      </c>
      <c r="G142" s="1">
        <v>3</v>
      </c>
      <c r="H142" s="1">
        <v>3</v>
      </c>
      <c r="I142" s="2">
        <v>46148</v>
      </c>
      <c r="J142" s="2">
        <v>46149</v>
      </c>
      <c r="K142" s="1" t="s">
        <v>9</v>
      </c>
      <c r="L142" s="6">
        <v>0</v>
      </c>
      <c r="M142" s="1" t="s">
        <v>10</v>
      </c>
      <c r="P142" s="1" t="s">
        <v>54</v>
      </c>
      <c r="Q142" s="1" t="s">
        <v>54</v>
      </c>
      <c r="U142" t="str">
        <f>+UPPER(Tabla1[[#This Row],[MATERIALES_REQUERIDOS]])</f>
        <v/>
      </c>
      <c r="V142" t="str">
        <f>+UPPER(Tabla1[[#This Row],[EQUIPOS_USADOS]])</f>
        <v/>
      </c>
    </row>
    <row r="143" spans="1:22" ht="43.2" x14ac:dyDescent="0.3">
      <c r="A143" s="1" t="s">
        <v>417</v>
      </c>
      <c r="B143" s="1" t="s">
        <v>29</v>
      </c>
      <c r="C143" s="1" t="s">
        <v>30</v>
      </c>
      <c r="D143" s="1" t="s">
        <v>407</v>
      </c>
      <c r="E143" s="1" t="s">
        <v>28</v>
      </c>
      <c r="F143" s="1" t="s">
        <v>418</v>
      </c>
      <c r="G143" s="1">
        <v>3</v>
      </c>
      <c r="H143" s="1">
        <v>3</v>
      </c>
      <c r="I143" s="2">
        <v>46148</v>
      </c>
      <c r="J143" s="2">
        <v>46149</v>
      </c>
      <c r="K143" s="1" t="s">
        <v>9</v>
      </c>
      <c r="L143" s="6">
        <v>0</v>
      </c>
      <c r="M143" s="1" t="s">
        <v>10</v>
      </c>
      <c r="P143" s="1" t="s">
        <v>54</v>
      </c>
      <c r="Q143" s="1" t="s">
        <v>54</v>
      </c>
      <c r="U143" t="str">
        <f>+UPPER(Tabla1[[#This Row],[MATERIALES_REQUERIDOS]])</f>
        <v/>
      </c>
      <c r="V143" t="str">
        <f>+UPPER(Tabla1[[#This Row],[EQUIPOS_USADOS]])</f>
        <v/>
      </c>
    </row>
    <row r="144" spans="1:22" ht="43.2" x14ac:dyDescent="0.3">
      <c r="A144" s="1" t="s">
        <v>419</v>
      </c>
      <c r="B144" s="1" t="s">
        <v>29</v>
      </c>
      <c r="C144" s="1" t="s">
        <v>30</v>
      </c>
      <c r="D144" s="1" t="s">
        <v>407</v>
      </c>
      <c r="E144" s="1" t="s">
        <v>28</v>
      </c>
      <c r="F144" s="1" t="s">
        <v>420</v>
      </c>
      <c r="G144" s="1">
        <v>3</v>
      </c>
      <c r="H144" s="1">
        <v>3</v>
      </c>
      <c r="I144" s="2">
        <v>46148</v>
      </c>
      <c r="J144" s="2">
        <v>46149</v>
      </c>
      <c r="K144" s="1" t="s">
        <v>9</v>
      </c>
      <c r="L144" s="6">
        <v>0</v>
      </c>
      <c r="M144" s="1" t="s">
        <v>10</v>
      </c>
      <c r="P144" s="1" t="s">
        <v>54</v>
      </c>
      <c r="Q144" s="1" t="s">
        <v>54</v>
      </c>
      <c r="U144" t="str">
        <f>+UPPER(Tabla1[[#This Row],[MATERIALES_REQUERIDOS]])</f>
        <v/>
      </c>
      <c r="V144" t="str">
        <f>+UPPER(Tabla1[[#This Row],[EQUIPOS_USADOS]])</f>
        <v/>
      </c>
    </row>
    <row r="145" spans="1:22" ht="43.2" x14ac:dyDescent="0.3">
      <c r="A145" s="1" t="s">
        <v>421</v>
      </c>
      <c r="B145" s="1" t="s">
        <v>29</v>
      </c>
      <c r="C145" s="1" t="s">
        <v>30</v>
      </c>
      <c r="D145" s="1" t="s">
        <v>407</v>
      </c>
      <c r="E145" s="1" t="s">
        <v>28</v>
      </c>
      <c r="F145" s="1" t="s">
        <v>422</v>
      </c>
      <c r="G145" s="1">
        <v>3</v>
      </c>
      <c r="H145" s="1">
        <v>2</v>
      </c>
      <c r="I145" s="2">
        <v>46148</v>
      </c>
      <c r="J145" s="2">
        <v>46149</v>
      </c>
      <c r="K145" s="1" t="s">
        <v>9</v>
      </c>
      <c r="L145" s="6">
        <v>0</v>
      </c>
      <c r="M145" s="1" t="s">
        <v>10</v>
      </c>
      <c r="P145" s="1" t="s">
        <v>54</v>
      </c>
      <c r="Q145" s="1" t="s">
        <v>54</v>
      </c>
      <c r="U145" t="str">
        <f>+UPPER(Tabla1[[#This Row],[MATERIALES_REQUERIDOS]])</f>
        <v/>
      </c>
      <c r="V145" t="str">
        <f>+UPPER(Tabla1[[#This Row],[EQUIPOS_USADOS]])</f>
        <v/>
      </c>
    </row>
    <row r="146" spans="1:22" ht="43.2" x14ac:dyDescent="0.3">
      <c r="A146" s="1" t="s">
        <v>423</v>
      </c>
      <c r="B146" s="1" t="s">
        <v>29</v>
      </c>
      <c r="C146" s="1" t="s">
        <v>30</v>
      </c>
      <c r="D146" s="1" t="s">
        <v>424</v>
      </c>
      <c r="E146" s="1" t="s">
        <v>28</v>
      </c>
      <c r="F146" s="1" t="s">
        <v>425</v>
      </c>
      <c r="G146" s="1">
        <v>3</v>
      </c>
      <c r="H146" s="1">
        <v>12</v>
      </c>
      <c r="I146" s="2">
        <v>46148</v>
      </c>
      <c r="J146" s="2">
        <v>46149</v>
      </c>
      <c r="K146" s="1" t="s">
        <v>9</v>
      </c>
      <c r="L146" s="6">
        <v>0</v>
      </c>
      <c r="M146" s="1" t="s">
        <v>10</v>
      </c>
      <c r="P146" s="1" t="s">
        <v>54</v>
      </c>
      <c r="Q146" s="1" t="s">
        <v>54</v>
      </c>
      <c r="U146" t="str">
        <f>+UPPER(Tabla1[[#This Row],[MATERIALES_REQUERIDOS]])</f>
        <v/>
      </c>
      <c r="V146" t="str">
        <f>+UPPER(Tabla1[[#This Row],[EQUIPOS_USADOS]])</f>
        <v/>
      </c>
    </row>
    <row r="147" spans="1:22" ht="43.2" x14ac:dyDescent="0.3">
      <c r="A147" s="1" t="s">
        <v>426</v>
      </c>
      <c r="B147" s="1" t="s">
        <v>29</v>
      </c>
      <c r="C147" s="1" t="s">
        <v>30</v>
      </c>
      <c r="D147" s="1" t="s">
        <v>424</v>
      </c>
      <c r="E147" s="1" t="s">
        <v>28</v>
      </c>
      <c r="F147" s="1" t="s">
        <v>427</v>
      </c>
      <c r="G147" s="1">
        <v>3</v>
      </c>
      <c r="H147" s="1">
        <v>2</v>
      </c>
      <c r="I147" s="2">
        <v>46148</v>
      </c>
      <c r="J147" s="2">
        <v>46149</v>
      </c>
      <c r="K147" s="1" t="s">
        <v>9</v>
      </c>
      <c r="L147" s="6">
        <v>0</v>
      </c>
      <c r="M147" s="1" t="s">
        <v>10</v>
      </c>
      <c r="P147" s="1" t="s">
        <v>54</v>
      </c>
      <c r="Q147" s="1" t="s">
        <v>54</v>
      </c>
      <c r="U147" t="str">
        <f>+UPPER(Tabla1[[#This Row],[MATERIALES_REQUERIDOS]])</f>
        <v/>
      </c>
      <c r="V147" t="str">
        <f>+UPPER(Tabla1[[#This Row],[EQUIPOS_USADOS]])</f>
        <v/>
      </c>
    </row>
    <row r="148" spans="1:22" ht="43.2" x14ac:dyDescent="0.3">
      <c r="A148" s="1" t="s">
        <v>428</v>
      </c>
      <c r="B148" s="1" t="s">
        <v>29</v>
      </c>
      <c r="C148" s="1" t="s">
        <v>30</v>
      </c>
      <c r="D148" s="1" t="s">
        <v>424</v>
      </c>
      <c r="E148" s="1" t="s">
        <v>28</v>
      </c>
      <c r="F148" s="1" t="s">
        <v>429</v>
      </c>
      <c r="G148" s="1">
        <v>3</v>
      </c>
      <c r="H148" s="1">
        <v>2</v>
      </c>
      <c r="I148" s="2">
        <v>46148</v>
      </c>
      <c r="J148" s="2">
        <v>46149</v>
      </c>
      <c r="K148" s="1" t="s">
        <v>9</v>
      </c>
      <c r="L148" s="6">
        <v>0</v>
      </c>
      <c r="M148" s="1" t="s">
        <v>10</v>
      </c>
      <c r="P148" s="1" t="s">
        <v>54</v>
      </c>
      <c r="Q148" s="1" t="s">
        <v>54</v>
      </c>
      <c r="U148" t="str">
        <f>+UPPER(Tabla1[[#This Row],[MATERIALES_REQUERIDOS]])</f>
        <v/>
      </c>
      <c r="V148" t="str">
        <f>+UPPER(Tabla1[[#This Row],[EQUIPOS_USADOS]])</f>
        <v/>
      </c>
    </row>
    <row r="149" spans="1:22" ht="86.4" x14ac:dyDescent="0.3">
      <c r="A149" s="1" t="s">
        <v>430</v>
      </c>
      <c r="B149" s="1" t="s">
        <v>11</v>
      </c>
      <c r="C149" s="1" t="s">
        <v>30</v>
      </c>
      <c r="D149" s="1" t="s">
        <v>431</v>
      </c>
      <c r="E149" s="1" t="s">
        <v>28</v>
      </c>
      <c r="F149" s="1" t="s">
        <v>432</v>
      </c>
      <c r="G149" s="1">
        <v>2</v>
      </c>
      <c r="I149" s="2"/>
      <c r="J149" s="2"/>
      <c r="K149" s="1" t="s">
        <v>18</v>
      </c>
      <c r="L149" s="6">
        <v>0.94</v>
      </c>
      <c r="M149" s="1" t="s">
        <v>10</v>
      </c>
      <c r="P149" s="1" t="s">
        <v>433</v>
      </c>
      <c r="Q149" s="1" t="s">
        <v>434</v>
      </c>
      <c r="R149" s="1" t="s">
        <v>435</v>
      </c>
      <c r="U149" t="str">
        <f>+UPPER(Tabla1[[#This Row],[MATERIALES_REQUERIDOS]])</f>
        <v>TEIPE 33, TEIPE COBRA, TEIPE DE COLORES</v>
      </c>
      <c r="V149" t="str">
        <f>+UPPER(Tabla1[[#This Row],[EQUIPOS_USADOS]])</f>
        <v>ALICATE, DESTONILLADORES, PINZA AMPERIMETRICA, JUEGO DE DADOS Y LLAVES COMBINADAS</v>
      </c>
    </row>
    <row r="150" spans="1:22" ht="86.4" x14ac:dyDescent="0.3">
      <c r="A150" s="1" t="s">
        <v>436</v>
      </c>
      <c r="B150" s="1" t="s">
        <v>11</v>
      </c>
      <c r="C150" s="1" t="s">
        <v>12</v>
      </c>
      <c r="D150" s="1" t="s">
        <v>431</v>
      </c>
      <c r="E150" s="1" t="s">
        <v>28</v>
      </c>
      <c r="F150" s="1" t="s">
        <v>437</v>
      </c>
      <c r="G150" s="1">
        <v>2</v>
      </c>
      <c r="I150" s="2"/>
      <c r="J150" s="2"/>
      <c r="K150" s="1" t="s">
        <v>18</v>
      </c>
      <c r="L150" s="6">
        <v>0.9</v>
      </c>
      <c r="M150" s="1" t="s">
        <v>10</v>
      </c>
      <c r="P150" s="1" t="s">
        <v>433</v>
      </c>
      <c r="Q150" s="1" t="s">
        <v>434</v>
      </c>
      <c r="R150" s="1" t="s">
        <v>438</v>
      </c>
      <c r="U150" t="str">
        <f>+UPPER(Tabla1[[#This Row],[MATERIALES_REQUERIDOS]])</f>
        <v>TEIPE 33, TEIPE COBRA, TEIPE DE COLORES</v>
      </c>
      <c r="V150" t="str">
        <f>+UPPER(Tabla1[[#This Row],[EQUIPOS_USADOS]])</f>
        <v>ALICATE, DESTONILLADORES, PINZA AMPERIMETRICA, JUEGO DE DADOS Y LLAVES COMBINADAS</v>
      </c>
    </row>
    <row r="151" spans="1:22" ht="86.4" x14ac:dyDescent="0.3">
      <c r="A151" s="1" t="s">
        <v>439</v>
      </c>
      <c r="B151" s="1" t="s">
        <v>11</v>
      </c>
      <c r="C151" s="1" t="s">
        <v>16</v>
      </c>
      <c r="D151" s="1" t="s">
        <v>431</v>
      </c>
      <c r="E151" s="1" t="s">
        <v>28</v>
      </c>
      <c r="F151" s="1" t="s">
        <v>440</v>
      </c>
      <c r="G151" s="1">
        <v>2</v>
      </c>
      <c r="I151" s="2"/>
      <c r="J151" s="2"/>
      <c r="K151" s="1" t="s">
        <v>18</v>
      </c>
      <c r="L151" s="6">
        <v>0.85</v>
      </c>
      <c r="M151" s="1" t="s">
        <v>10</v>
      </c>
      <c r="P151" s="1" t="s">
        <v>433</v>
      </c>
      <c r="Q151" s="1" t="s">
        <v>434</v>
      </c>
      <c r="R151" s="1" t="s">
        <v>441</v>
      </c>
      <c r="U151" t="str">
        <f>+UPPER(Tabla1[[#This Row],[MATERIALES_REQUERIDOS]])</f>
        <v>TEIPE 33, TEIPE COBRA, TEIPE DE COLORES</v>
      </c>
      <c r="V151" t="str">
        <f>+UPPER(Tabla1[[#This Row],[EQUIPOS_USADOS]])</f>
        <v>ALICATE, DESTONILLADORES, PINZA AMPERIMETRICA, JUEGO DE DADOS Y LLAVES COMBINADAS</v>
      </c>
    </row>
    <row r="152" spans="1:22" ht="86.4" x14ac:dyDescent="0.3">
      <c r="A152" s="1" t="s">
        <v>442</v>
      </c>
      <c r="B152" s="1" t="s">
        <v>11</v>
      </c>
      <c r="C152" s="1" t="s">
        <v>34</v>
      </c>
      <c r="D152" s="1" t="s">
        <v>431</v>
      </c>
      <c r="E152" s="1" t="s">
        <v>28</v>
      </c>
      <c r="F152" s="1" t="s">
        <v>443</v>
      </c>
      <c r="G152" s="1">
        <v>2</v>
      </c>
      <c r="I152" s="2"/>
      <c r="J152" s="2"/>
      <c r="K152" s="1" t="s">
        <v>18</v>
      </c>
      <c r="L152" s="6">
        <v>0.88</v>
      </c>
      <c r="M152" s="1" t="s">
        <v>10</v>
      </c>
      <c r="P152" s="1" t="s">
        <v>433</v>
      </c>
      <c r="Q152" s="1" t="s">
        <v>434</v>
      </c>
      <c r="R152" s="1" t="s">
        <v>444</v>
      </c>
      <c r="U152" t="str">
        <f>+UPPER(Tabla1[[#This Row],[MATERIALES_REQUERIDOS]])</f>
        <v>TEIPE 33, TEIPE COBRA, TEIPE DE COLORES</v>
      </c>
      <c r="V152" t="str">
        <f>+UPPER(Tabla1[[#This Row],[EQUIPOS_USADOS]])</f>
        <v>ALICATE, DESTONILLADORES, PINZA AMPERIMETRICA, JUEGO DE DADOS Y LLAVES COMBINADAS</v>
      </c>
    </row>
    <row r="153" spans="1:22" ht="86.4" x14ac:dyDescent="0.3">
      <c r="A153" s="1" t="s">
        <v>445</v>
      </c>
      <c r="B153" s="1" t="s">
        <v>11</v>
      </c>
      <c r="C153" s="1" t="s">
        <v>33</v>
      </c>
      <c r="D153" s="1" t="s">
        <v>431</v>
      </c>
      <c r="E153" s="1" t="s">
        <v>28</v>
      </c>
      <c r="F153" s="1" t="s">
        <v>446</v>
      </c>
      <c r="G153" s="1">
        <v>2</v>
      </c>
      <c r="I153" s="2"/>
      <c r="J153" s="2"/>
      <c r="K153" s="1" t="s">
        <v>18</v>
      </c>
      <c r="L153" s="6">
        <v>0.87</v>
      </c>
      <c r="M153" s="1" t="s">
        <v>10</v>
      </c>
      <c r="P153" s="1" t="s">
        <v>433</v>
      </c>
      <c r="Q153" s="1" t="s">
        <v>434</v>
      </c>
      <c r="R153" s="1" t="s">
        <v>447</v>
      </c>
      <c r="U153" t="str">
        <f>+UPPER(Tabla1[[#This Row],[MATERIALES_REQUERIDOS]])</f>
        <v>TEIPE 33, TEIPE COBRA, TEIPE DE COLORES</v>
      </c>
      <c r="V153" t="str">
        <f>+UPPER(Tabla1[[#This Row],[EQUIPOS_USADOS]])</f>
        <v>ALICATE, DESTONILLADORES, PINZA AMPERIMETRICA, JUEGO DE DADOS Y LLAVES COMBINADAS</v>
      </c>
    </row>
    <row r="154" spans="1:22" ht="86.4" x14ac:dyDescent="0.3">
      <c r="A154" s="1" t="s">
        <v>448</v>
      </c>
      <c r="B154" s="1" t="s">
        <v>11</v>
      </c>
      <c r="C154" s="1" t="s">
        <v>21</v>
      </c>
      <c r="D154" s="1" t="s">
        <v>431</v>
      </c>
      <c r="E154" s="1" t="s">
        <v>28</v>
      </c>
      <c r="F154" s="1" t="s">
        <v>449</v>
      </c>
      <c r="G154" s="1">
        <v>2</v>
      </c>
      <c r="I154" s="2"/>
      <c r="J154" s="2"/>
      <c r="K154" s="1" t="s">
        <v>18</v>
      </c>
      <c r="L154" s="6">
        <v>0.84</v>
      </c>
      <c r="M154" s="1" t="s">
        <v>10</v>
      </c>
      <c r="P154" s="1" t="s">
        <v>433</v>
      </c>
      <c r="Q154" s="1" t="s">
        <v>434</v>
      </c>
      <c r="R154" s="1" t="s">
        <v>450</v>
      </c>
      <c r="U154" t="str">
        <f>+UPPER(Tabla1[[#This Row],[MATERIALES_REQUERIDOS]])</f>
        <v>TEIPE 33, TEIPE COBRA, TEIPE DE COLORES</v>
      </c>
      <c r="V154" t="str">
        <f>+UPPER(Tabla1[[#This Row],[EQUIPOS_USADOS]])</f>
        <v>ALICATE, DESTONILLADORES, PINZA AMPERIMETRICA, JUEGO DE DADOS Y LLAVES COMBINADAS</v>
      </c>
    </row>
    <row r="155" spans="1:22" ht="86.4" x14ac:dyDescent="0.3">
      <c r="A155" s="1" t="s">
        <v>451</v>
      </c>
      <c r="B155" s="1" t="s">
        <v>11</v>
      </c>
      <c r="C155" s="1" t="s">
        <v>36</v>
      </c>
      <c r="D155" s="1" t="s">
        <v>431</v>
      </c>
      <c r="E155" s="1" t="s">
        <v>28</v>
      </c>
      <c r="F155" s="1" t="s">
        <v>452</v>
      </c>
      <c r="G155" s="1">
        <v>2</v>
      </c>
      <c r="I155" s="2"/>
      <c r="J155" s="2"/>
      <c r="K155" s="1" t="s">
        <v>18</v>
      </c>
      <c r="L155" s="6">
        <v>0.16</v>
      </c>
      <c r="M155" s="1" t="s">
        <v>10</v>
      </c>
      <c r="P155" s="1" t="s">
        <v>433</v>
      </c>
      <c r="Q155" s="1" t="s">
        <v>434</v>
      </c>
      <c r="R155" s="1" t="s">
        <v>453</v>
      </c>
      <c r="U155" t="str">
        <f>+UPPER(Tabla1[[#This Row],[MATERIALES_REQUERIDOS]])</f>
        <v>TEIPE 33, TEIPE COBRA, TEIPE DE COLORES</v>
      </c>
      <c r="V155" t="str">
        <f>+UPPER(Tabla1[[#This Row],[EQUIPOS_USADOS]])</f>
        <v>ALICATE, DESTONILLADORES, PINZA AMPERIMETRICA, JUEGO DE DADOS Y LLAVES COMBINADAS</v>
      </c>
    </row>
    <row r="156" spans="1:22" ht="86.4" x14ac:dyDescent="0.3">
      <c r="A156" s="1" t="s">
        <v>454</v>
      </c>
      <c r="B156" s="1" t="s">
        <v>11</v>
      </c>
      <c r="C156" s="1" t="s">
        <v>7</v>
      </c>
      <c r="D156" s="1" t="s">
        <v>431</v>
      </c>
      <c r="E156" s="1" t="s">
        <v>28</v>
      </c>
      <c r="F156" s="1" t="s">
        <v>455</v>
      </c>
      <c r="G156" s="1">
        <v>2</v>
      </c>
      <c r="I156" s="2"/>
      <c r="J156" s="2"/>
      <c r="K156" s="1" t="s">
        <v>18</v>
      </c>
      <c r="L156" s="6">
        <v>0.74</v>
      </c>
      <c r="M156" s="1" t="s">
        <v>10</v>
      </c>
      <c r="P156" s="1" t="s">
        <v>433</v>
      </c>
      <c r="Q156" s="1" t="s">
        <v>434</v>
      </c>
      <c r="R156" s="1" t="s">
        <v>456</v>
      </c>
      <c r="U156" t="str">
        <f>+UPPER(Tabla1[[#This Row],[MATERIALES_REQUERIDOS]])</f>
        <v>TEIPE 33, TEIPE COBRA, TEIPE DE COLORES</v>
      </c>
      <c r="V156" t="str">
        <f>+UPPER(Tabla1[[#This Row],[EQUIPOS_USADOS]])</f>
        <v>ALICATE, DESTONILLADORES, PINZA AMPERIMETRICA, JUEGO DE DADOS Y LLAVES COMBINADAS</v>
      </c>
    </row>
    <row r="157" spans="1:22" ht="86.4" x14ac:dyDescent="0.3">
      <c r="A157" s="1" t="s">
        <v>457</v>
      </c>
      <c r="B157" s="1" t="s">
        <v>11</v>
      </c>
      <c r="C157" s="1" t="s">
        <v>37</v>
      </c>
      <c r="D157" s="1" t="s">
        <v>458</v>
      </c>
      <c r="E157" s="1" t="s">
        <v>28</v>
      </c>
      <c r="F157" s="1" t="s">
        <v>459</v>
      </c>
      <c r="G157" s="1">
        <v>2</v>
      </c>
      <c r="H157" s="1">
        <v>24</v>
      </c>
      <c r="I157" s="2">
        <v>46146</v>
      </c>
      <c r="J157" s="2">
        <v>46148</v>
      </c>
      <c r="K157" s="1" t="s">
        <v>13</v>
      </c>
      <c r="L157" s="6">
        <v>0.5</v>
      </c>
      <c r="M157" s="1" t="s">
        <v>10</v>
      </c>
      <c r="N157" s="1">
        <v>4</v>
      </c>
      <c r="O157" s="1" t="s">
        <v>14</v>
      </c>
      <c r="P157" s="1" t="s">
        <v>433</v>
      </c>
      <c r="Q157" s="1" t="s">
        <v>434</v>
      </c>
      <c r="R157" s="1" t="s">
        <v>460</v>
      </c>
      <c r="U157" t="str">
        <f>+UPPER(Tabla1[[#This Row],[MATERIALES_REQUERIDOS]])</f>
        <v>TEIPE 33, TEIPE COBRA, TEIPE DE COLORES</v>
      </c>
      <c r="V157" t="str">
        <f>+UPPER(Tabla1[[#This Row],[EQUIPOS_USADOS]])</f>
        <v>ALICATE, DESTONILLADORES, PINZA AMPERIMETRICA, JUEGO DE DADOS Y LLAVES COMBINADAS</v>
      </c>
    </row>
    <row r="158" spans="1:22" ht="86.4" x14ac:dyDescent="0.3">
      <c r="A158" s="1" t="s">
        <v>461</v>
      </c>
      <c r="B158" s="1" t="s">
        <v>11</v>
      </c>
      <c r="C158" s="1" t="s">
        <v>16</v>
      </c>
      <c r="D158" s="1" t="s">
        <v>458</v>
      </c>
      <c r="E158" s="1" t="s">
        <v>28</v>
      </c>
      <c r="F158" s="1" t="s">
        <v>462</v>
      </c>
      <c r="G158" s="1">
        <v>4</v>
      </c>
      <c r="H158" s="1">
        <v>16</v>
      </c>
      <c r="I158" s="2">
        <v>46146</v>
      </c>
      <c r="J158" s="2">
        <v>46147</v>
      </c>
      <c r="K158" s="1" t="s">
        <v>13</v>
      </c>
      <c r="L158" s="6">
        <v>0.8</v>
      </c>
      <c r="M158" s="1" t="s">
        <v>10</v>
      </c>
      <c r="N158" s="1">
        <v>40</v>
      </c>
      <c r="P158" s="1" t="s">
        <v>463</v>
      </c>
      <c r="Q158" s="1" t="s">
        <v>434</v>
      </c>
      <c r="R158" s="1" t="s">
        <v>464</v>
      </c>
      <c r="U158" t="str">
        <f>+UPPER(Tabla1[[#This Row],[MATERIALES_REQUERIDOS]])</f>
        <v>LIJA, DIELECTRICO, BARNIZ, TRAPOS, JABON, DESENGRASANTE</v>
      </c>
      <c r="V158" t="str">
        <f>+UPPER(Tabla1[[#This Row],[EQUIPOS_USADOS]])</f>
        <v>ALICATE, DESTONILLADORES, PINZA AMPERIMETRICA, JUEGO DE DADOS Y LLAVES COMBINADAS</v>
      </c>
    </row>
    <row r="159" spans="1:22" ht="86.4" x14ac:dyDescent="0.3">
      <c r="A159" s="1" t="s">
        <v>461</v>
      </c>
      <c r="B159" s="1" t="s">
        <v>11</v>
      </c>
      <c r="C159" s="1" t="s">
        <v>16</v>
      </c>
      <c r="D159" s="1" t="s">
        <v>458</v>
      </c>
      <c r="E159" s="1" t="s">
        <v>28</v>
      </c>
      <c r="F159" s="1" t="s">
        <v>465</v>
      </c>
      <c r="G159" s="1">
        <v>4</v>
      </c>
      <c r="H159" s="1">
        <v>16</v>
      </c>
      <c r="I159" s="2">
        <v>46147</v>
      </c>
      <c r="J159" s="2">
        <v>46148</v>
      </c>
      <c r="K159" s="1" t="s">
        <v>13</v>
      </c>
      <c r="L159" s="6">
        <v>0.95</v>
      </c>
      <c r="M159" s="1" t="s">
        <v>10</v>
      </c>
      <c r="N159" s="1">
        <v>16</v>
      </c>
      <c r="O159" s="1" t="s">
        <v>19</v>
      </c>
      <c r="P159" s="1" t="s">
        <v>463</v>
      </c>
      <c r="Q159" s="1" t="s">
        <v>434</v>
      </c>
      <c r="R159" s="1" t="s">
        <v>466</v>
      </c>
      <c r="U159" t="str">
        <f>+UPPER(Tabla1[[#This Row],[MATERIALES_REQUERIDOS]])</f>
        <v>LIJA, DIELECTRICO, BARNIZ, TRAPOS, JABON, DESENGRASANTE</v>
      </c>
      <c r="V159" t="str">
        <f>+UPPER(Tabla1[[#This Row],[EQUIPOS_USADOS]])</f>
        <v>ALICATE, DESTONILLADORES, PINZA AMPERIMETRICA, JUEGO DE DADOS Y LLAVES COMBINADAS</v>
      </c>
    </row>
    <row r="160" spans="1:22" ht="57.6" x14ac:dyDescent="0.3">
      <c r="A160" s="1" t="s">
        <v>467</v>
      </c>
      <c r="B160" s="1" t="s">
        <v>11</v>
      </c>
      <c r="C160" s="1" t="s">
        <v>37</v>
      </c>
      <c r="D160" s="1" t="s">
        <v>468</v>
      </c>
      <c r="E160" s="1" t="s">
        <v>8</v>
      </c>
      <c r="F160" s="1" t="s">
        <v>469</v>
      </c>
      <c r="G160" s="1">
        <v>1</v>
      </c>
      <c r="H160" s="1">
        <v>40</v>
      </c>
      <c r="I160" s="2">
        <v>46146</v>
      </c>
      <c r="J160" s="2">
        <v>46150</v>
      </c>
      <c r="K160" s="1" t="s">
        <v>13</v>
      </c>
      <c r="L160" s="6">
        <v>0.4</v>
      </c>
      <c r="M160" s="1" t="s">
        <v>10</v>
      </c>
      <c r="N160" s="1">
        <v>8</v>
      </c>
      <c r="P160" s="1" t="s">
        <v>54</v>
      </c>
      <c r="Q160" s="1" t="s">
        <v>54</v>
      </c>
      <c r="R160" s="1" t="s">
        <v>470</v>
      </c>
      <c r="U160" t="str">
        <f>+UPPER(Tabla1[[#This Row],[MATERIALES_REQUERIDOS]])</f>
        <v/>
      </c>
      <c r="V160" t="str">
        <f>+UPPER(Tabla1[[#This Row],[EQUIPOS_USADOS]])</f>
        <v/>
      </c>
    </row>
    <row r="161" spans="1:22" ht="86.4" x14ac:dyDescent="0.3">
      <c r="A161" s="1" t="s">
        <v>471</v>
      </c>
      <c r="B161" s="1" t="s">
        <v>11</v>
      </c>
      <c r="C161" s="1" t="s">
        <v>30</v>
      </c>
      <c r="D161" s="1" t="s">
        <v>458</v>
      </c>
      <c r="E161" s="1" t="s">
        <v>28</v>
      </c>
      <c r="F161" s="1" t="s">
        <v>472</v>
      </c>
      <c r="G161" s="1">
        <v>2</v>
      </c>
      <c r="H161" s="1">
        <v>4</v>
      </c>
      <c r="I161" s="2">
        <v>46146</v>
      </c>
      <c r="J161" s="2">
        <v>46146</v>
      </c>
      <c r="K161" s="1" t="s">
        <v>22</v>
      </c>
      <c r="L161" s="6">
        <v>1</v>
      </c>
      <c r="M161" s="1" t="s">
        <v>10</v>
      </c>
      <c r="N161" s="1">
        <v>4</v>
      </c>
      <c r="P161" s="1" t="s">
        <v>463</v>
      </c>
      <c r="Q161" s="1" t="s">
        <v>434</v>
      </c>
      <c r="R161" s="1" t="s">
        <v>473</v>
      </c>
      <c r="U161" t="str">
        <f>+UPPER(Tabla1[[#This Row],[MATERIALES_REQUERIDOS]])</f>
        <v>LIJA, DIELECTRICO, BARNIZ, TRAPOS, JABON, DESENGRASANTE</v>
      </c>
      <c r="V161" t="str">
        <f>+UPPER(Tabla1[[#This Row],[EQUIPOS_USADOS]])</f>
        <v>ALICATE, DESTONILLADORES, PINZA AMPERIMETRICA, JUEGO DE DADOS Y LLAVES COMBINADAS</v>
      </c>
    </row>
    <row r="162" spans="1:22" ht="86.4" x14ac:dyDescent="0.3">
      <c r="A162" s="1" t="s">
        <v>474</v>
      </c>
      <c r="B162" s="1" t="s">
        <v>11</v>
      </c>
      <c r="C162" s="1" t="s">
        <v>30</v>
      </c>
      <c r="D162" s="1" t="s">
        <v>458</v>
      </c>
      <c r="E162" s="1" t="s">
        <v>28</v>
      </c>
      <c r="F162" s="1" t="s">
        <v>475</v>
      </c>
      <c r="G162" s="1">
        <v>2</v>
      </c>
      <c r="H162" s="1">
        <v>4</v>
      </c>
      <c r="I162" s="2">
        <v>46146</v>
      </c>
      <c r="J162" s="2">
        <v>46146</v>
      </c>
      <c r="K162" s="1" t="s">
        <v>22</v>
      </c>
      <c r="L162" s="6">
        <v>1</v>
      </c>
      <c r="M162" s="1" t="s">
        <v>10</v>
      </c>
      <c r="N162" s="1">
        <v>4</v>
      </c>
      <c r="P162" s="1" t="s">
        <v>463</v>
      </c>
      <c r="Q162" s="1" t="s">
        <v>434</v>
      </c>
      <c r="R162" s="1" t="s">
        <v>473</v>
      </c>
      <c r="U162" t="str">
        <f>+UPPER(Tabla1[[#This Row],[MATERIALES_REQUERIDOS]])</f>
        <v>LIJA, DIELECTRICO, BARNIZ, TRAPOS, JABON, DESENGRASANTE</v>
      </c>
      <c r="V162" t="str">
        <f>+UPPER(Tabla1[[#This Row],[EQUIPOS_USADOS]])</f>
        <v>ALICATE, DESTONILLADORES, PINZA AMPERIMETRICA, JUEGO DE DADOS Y LLAVES COMBINADAS</v>
      </c>
    </row>
    <row r="163" spans="1:22" ht="158.4" x14ac:dyDescent="0.3">
      <c r="A163" s="1" t="s">
        <v>476</v>
      </c>
      <c r="B163" s="1" t="s">
        <v>11</v>
      </c>
      <c r="C163" s="1" t="s">
        <v>30</v>
      </c>
      <c r="D163" s="1" t="s">
        <v>458</v>
      </c>
      <c r="E163" s="1" t="s">
        <v>28</v>
      </c>
      <c r="F163" s="1" t="s">
        <v>477</v>
      </c>
      <c r="G163" s="1">
        <v>2</v>
      </c>
      <c r="H163" s="1">
        <v>4</v>
      </c>
      <c r="I163" s="2">
        <v>46147</v>
      </c>
      <c r="J163" s="2">
        <v>46147</v>
      </c>
      <c r="K163" s="1" t="s">
        <v>13</v>
      </c>
      <c r="L163" s="6">
        <v>0.5</v>
      </c>
      <c r="M163" s="1" t="s">
        <v>10</v>
      </c>
      <c r="N163" s="1">
        <v>8</v>
      </c>
      <c r="P163" s="1" t="s">
        <v>463</v>
      </c>
      <c r="Q163" s="1" t="s">
        <v>434</v>
      </c>
      <c r="R163" s="1" t="s">
        <v>478</v>
      </c>
      <c r="U163" t="str">
        <f>+UPPER(Tabla1[[#This Row],[MATERIALES_REQUERIDOS]])</f>
        <v>LIJA, DIELECTRICO, BARNIZ, TRAPOS, JABON, DESENGRASANTE</v>
      </c>
      <c r="V163" t="str">
        <f>+UPPER(Tabla1[[#This Row],[EQUIPOS_USADOS]])</f>
        <v>ALICATE, DESTONILLADORES, PINZA AMPERIMETRICA, JUEGO DE DADOS Y LLAVES COMBINADAS</v>
      </c>
    </row>
    <row r="164" spans="1:22" ht="86.4" x14ac:dyDescent="0.3">
      <c r="A164" s="1" t="s">
        <v>479</v>
      </c>
      <c r="B164" s="1" t="s">
        <v>11</v>
      </c>
      <c r="C164" s="1" t="s">
        <v>30</v>
      </c>
      <c r="D164" s="1" t="s">
        <v>458</v>
      </c>
      <c r="E164" s="1" t="s">
        <v>28</v>
      </c>
      <c r="F164" s="1" t="s">
        <v>480</v>
      </c>
      <c r="G164" s="1">
        <v>2</v>
      </c>
      <c r="H164" s="1">
        <v>4</v>
      </c>
      <c r="I164" s="2">
        <v>46147</v>
      </c>
      <c r="J164" s="2">
        <v>46147</v>
      </c>
      <c r="K164" s="1" t="s">
        <v>13</v>
      </c>
      <c r="L164" s="6">
        <v>0.5</v>
      </c>
      <c r="M164" s="1" t="s">
        <v>10</v>
      </c>
      <c r="N164" s="1">
        <v>8</v>
      </c>
      <c r="O164" s="1" t="s">
        <v>19</v>
      </c>
      <c r="P164" s="1" t="s">
        <v>463</v>
      </c>
      <c r="Q164" s="1" t="s">
        <v>434</v>
      </c>
      <c r="U164" t="str">
        <f>+UPPER(Tabla1[[#This Row],[MATERIALES_REQUERIDOS]])</f>
        <v>LIJA, DIELECTRICO, BARNIZ, TRAPOS, JABON, DESENGRASANTE</v>
      </c>
      <c r="V164" t="str">
        <f>+UPPER(Tabla1[[#This Row],[EQUIPOS_USADOS]])</f>
        <v>ALICATE, DESTONILLADORES, PINZA AMPERIMETRICA, JUEGO DE DADOS Y LLAVES COMBINADAS</v>
      </c>
    </row>
    <row r="165" spans="1:22" ht="86.4" x14ac:dyDescent="0.3">
      <c r="A165" s="1" t="s">
        <v>481</v>
      </c>
      <c r="B165" s="1" t="s">
        <v>11</v>
      </c>
      <c r="C165" s="1" t="s">
        <v>30</v>
      </c>
      <c r="D165" s="1" t="s">
        <v>458</v>
      </c>
      <c r="E165" s="1" t="s">
        <v>28</v>
      </c>
      <c r="F165" s="1" t="s">
        <v>482</v>
      </c>
      <c r="G165" s="1">
        <v>2</v>
      </c>
      <c r="H165" s="1">
        <v>4</v>
      </c>
      <c r="I165" s="2">
        <v>46148</v>
      </c>
      <c r="J165" s="2">
        <v>46148</v>
      </c>
      <c r="K165" s="1" t="s">
        <v>9</v>
      </c>
      <c r="L165" s="6">
        <v>0</v>
      </c>
      <c r="M165" s="1" t="s">
        <v>10</v>
      </c>
      <c r="P165" s="1" t="s">
        <v>463</v>
      </c>
      <c r="Q165" s="1" t="s">
        <v>434</v>
      </c>
      <c r="U165" t="str">
        <f>+UPPER(Tabla1[[#This Row],[MATERIALES_REQUERIDOS]])</f>
        <v>LIJA, DIELECTRICO, BARNIZ, TRAPOS, JABON, DESENGRASANTE</v>
      </c>
      <c r="V165" t="str">
        <f>+UPPER(Tabla1[[#This Row],[EQUIPOS_USADOS]])</f>
        <v>ALICATE, DESTONILLADORES, PINZA AMPERIMETRICA, JUEGO DE DADOS Y LLAVES COMBINADAS</v>
      </c>
    </row>
    <row r="166" spans="1:22" ht="86.4" x14ac:dyDescent="0.3">
      <c r="A166" s="1" t="s">
        <v>483</v>
      </c>
      <c r="B166" s="1" t="s">
        <v>11</v>
      </c>
      <c r="C166" s="1" t="s">
        <v>30</v>
      </c>
      <c r="D166" s="1" t="s">
        <v>458</v>
      </c>
      <c r="E166" s="1" t="s">
        <v>28</v>
      </c>
      <c r="F166" s="1" t="s">
        <v>484</v>
      </c>
      <c r="G166" s="1">
        <v>2</v>
      </c>
      <c r="H166" s="1">
        <v>4</v>
      </c>
      <c r="I166" s="2">
        <v>46148</v>
      </c>
      <c r="J166" s="2">
        <v>46148</v>
      </c>
      <c r="K166" s="1" t="s">
        <v>9</v>
      </c>
      <c r="L166" s="6">
        <v>0</v>
      </c>
      <c r="M166" s="1" t="s">
        <v>10</v>
      </c>
      <c r="P166" s="1" t="s">
        <v>463</v>
      </c>
      <c r="Q166" s="1" t="s">
        <v>434</v>
      </c>
      <c r="U166" t="str">
        <f>+UPPER(Tabla1[[#This Row],[MATERIALES_REQUERIDOS]])</f>
        <v>LIJA, DIELECTRICO, BARNIZ, TRAPOS, JABON, DESENGRASANTE</v>
      </c>
      <c r="V166" t="str">
        <f>+UPPER(Tabla1[[#This Row],[EQUIPOS_USADOS]])</f>
        <v>ALICATE, DESTONILLADORES, PINZA AMPERIMETRICA, JUEGO DE DADOS Y LLAVES COMBINADAS</v>
      </c>
    </row>
    <row r="167" spans="1:22" ht="86.4" x14ac:dyDescent="0.3">
      <c r="A167" s="1" t="s">
        <v>485</v>
      </c>
      <c r="B167" s="1" t="s">
        <v>11</v>
      </c>
      <c r="C167" s="1" t="s">
        <v>30</v>
      </c>
      <c r="D167" s="1" t="s">
        <v>458</v>
      </c>
      <c r="E167" s="1" t="s">
        <v>28</v>
      </c>
      <c r="F167" s="1" t="s">
        <v>486</v>
      </c>
      <c r="G167" s="1">
        <v>2</v>
      </c>
      <c r="H167" s="1">
        <v>16</v>
      </c>
      <c r="I167" s="2">
        <v>46119</v>
      </c>
      <c r="J167" s="2">
        <v>46150</v>
      </c>
      <c r="K167" s="1" t="s">
        <v>9</v>
      </c>
      <c r="L167" s="6">
        <v>0</v>
      </c>
      <c r="M167" s="1" t="s">
        <v>10</v>
      </c>
      <c r="P167" s="1" t="s">
        <v>463</v>
      </c>
      <c r="Q167" s="1" t="s">
        <v>434</v>
      </c>
      <c r="U167" t="str">
        <f>+UPPER(Tabla1[[#This Row],[MATERIALES_REQUERIDOS]])</f>
        <v>LIJA, DIELECTRICO, BARNIZ, TRAPOS, JABON, DESENGRASANTE</v>
      </c>
      <c r="V167" t="str">
        <f>+UPPER(Tabla1[[#This Row],[EQUIPOS_USADOS]])</f>
        <v>ALICATE, DESTONILLADORES, PINZA AMPERIMETRICA, JUEGO DE DADOS Y LLAVES COMBINADAS</v>
      </c>
    </row>
    <row r="168" spans="1:22" ht="115.2" x14ac:dyDescent="0.3">
      <c r="A168" s="1" t="s">
        <v>487</v>
      </c>
      <c r="B168" s="1" t="s">
        <v>11</v>
      </c>
      <c r="C168" s="1" t="s">
        <v>37</v>
      </c>
      <c r="D168" s="1" t="s">
        <v>488</v>
      </c>
      <c r="E168" s="1" t="s">
        <v>28</v>
      </c>
      <c r="F168" s="1" t="s">
        <v>489</v>
      </c>
      <c r="G168" s="1">
        <v>1</v>
      </c>
      <c r="H168" s="1">
        <v>40</v>
      </c>
      <c r="I168" s="2">
        <v>46146</v>
      </c>
      <c r="J168" s="2">
        <v>46150</v>
      </c>
      <c r="K168" s="1" t="s">
        <v>13</v>
      </c>
      <c r="L168" s="6">
        <v>0.4</v>
      </c>
      <c r="M168" s="1" t="s">
        <v>10</v>
      </c>
      <c r="P168" s="1" t="s">
        <v>490</v>
      </c>
      <c r="Q168" s="1" t="s">
        <v>491</v>
      </c>
      <c r="U168" t="str">
        <f>+UPPER(Tabla1[[#This Row],[MATERIALES_REQUERIDOS]])</f>
        <v>GAS R410, GAS 22, VARILLAS DE PLATA 5%</v>
      </c>
      <c r="V168" t="str">
        <f>+UPPER(Tabla1[[#This Row],[EQUIPOS_USADOS]])</f>
        <v>ALICATE, DESTONILLADORES, PINZA AMPERIMETRICA, JUEGO DE DADOS Y LLAVES COMBINADAS, MANOMETROS Y CAPACIMETRO.</v>
      </c>
    </row>
    <row r="169" spans="1:22" ht="57.6" x14ac:dyDescent="0.3">
      <c r="A169" s="1" t="s">
        <v>492</v>
      </c>
      <c r="B169" s="1" t="s">
        <v>6</v>
      </c>
      <c r="C169" s="1" t="s">
        <v>33</v>
      </c>
      <c r="D169" s="1" t="s">
        <v>493</v>
      </c>
      <c r="E169" s="1" t="s">
        <v>28</v>
      </c>
      <c r="F169" s="1" t="s">
        <v>494</v>
      </c>
      <c r="G169" s="1">
        <v>2</v>
      </c>
      <c r="H169" s="1">
        <v>80</v>
      </c>
      <c r="I169" s="2">
        <v>46139</v>
      </c>
      <c r="J169" s="2">
        <v>46147</v>
      </c>
      <c r="K169" s="1" t="s">
        <v>22</v>
      </c>
      <c r="L169" s="6">
        <v>1</v>
      </c>
      <c r="M169" s="1" t="s">
        <v>10</v>
      </c>
      <c r="N169" s="1">
        <v>52</v>
      </c>
      <c r="P169" s="1" t="s">
        <v>495</v>
      </c>
      <c r="Q169" s="1" t="s">
        <v>496</v>
      </c>
      <c r="U169" t="str">
        <f>+UPPER(Tabla1[[#This Row],[MATERIALES_REQUERIDOS]])</f>
        <v>TRAPOS, LAPICERO, MARCADOR, TIRRO, CINTA DE EMBALAR, PLASTICO, JABON, DESENGRASANTE.</v>
      </c>
      <c r="V169" t="str">
        <f>+UPPER(Tabla1[[#This Row],[EQUIPOS_USADOS]])</f>
        <v>TESTER, TALADRO, PULIDORA, ESMERIL</v>
      </c>
    </row>
    <row r="170" spans="1:22" ht="57.6" x14ac:dyDescent="0.3">
      <c r="A170" s="1" t="s">
        <v>497</v>
      </c>
      <c r="B170" s="1" t="s">
        <v>6</v>
      </c>
      <c r="C170" s="1" t="s">
        <v>27</v>
      </c>
      <c r="D170" s="1" t="s">
        <v>498</v>
      </c>
      <c r="E170" s="1" t="s">
        <v>28</v>
      </c>
      <c r="F170" s="1" t="s">
        <v>499</v>
      </c>
      <c r="G170" s="1">
        <v>2</v>
      </c>
      <c r="H170" s="1">
        <v>80</v>
      </c>
      <c r="I170" s="2">
        <v>46139</v>
      </c>
      <c r="J170" s="2">
        <v>46150</v>
      </c>
      <c r="K170" s="1" t="s">
        <v>22</v>
      </c>
      <c r="L170" s="6">
        <v>1</v>
      </c>
      <c r="M170" s="1" t="s">
        <v>10</v>
      </c>
      <c r="N170" s="1">
        <v>52</v>
      </c>
      <c r="P170" s="1" t="s">
        <v>495</v>
      </c>
      <c r="Q170" s="1" t="s">
        <v>500</v>
      </c>
      <c r="U170" t="str">
        <f>+UPPER(Tabla1[[#This Row],[MATERIALES_REQUERIDOS]])</f>
        <v>TRAPOS, LAPICERO, MARCADOR, TIRRO, CINTA DE EMBALAR, PLASTICO, JABON, DESENGRASANTE.</v>
      </c>
      <c r="V170" t="str">
        <f>+UPPER(Tabla1[[#This Row],[EQUIPOS_USADOS]])</f>
        <v>TALADRO, PULIDORA, ESMERIL</v>
      </c>
    </row>
    <row r="171" spans="1:22" ht="57.6" x14ac:dyDescent="0.3">
      <c r="A171" s="1" t="s">
        <v>501</v>
      </c>
      <c r="B171" s="1" t="s">
        <v>6</v>
      </c>
      <c r="C171" s="1" t="s">
        <v>27</v>
      </c>
      <c r="D171" s="1" t="s">
        <v>498</v>
      </c>
      <c r="E171" s="1" t="s">
        <v>28</v>
      </c>
      <c r="F171" s="1" t="s">
        <v>502</v>
      </c>
      <c r="G171" s="1">
        <v>1</v>
      </c>
      <c r="H171" s="1">
        <v>40</v>
      </c>
      <c r="I171" s="2">
        <v>46146</v>
      </c>
      <c r="J171" s="2">
        <v>46150</v>
      </c>
      <c r="K171" s="1" t="s">
        <v>13</v>
      </c>
      <c r="L171" s="6">
        <v>0.2</v>
      </c>
      <c r="M171" s="1" t="s">
        <v>10</v>
      </c>
      <c r="N171" s="1">
        <v>8</v>
      </c>
      <c r="P171" s="1" t="s">
        <v>495</v>
      </c>
      <c r="Q171" s="1" t="s">
        <v>496</v>
      </c>
      <c r="U171" t="str">
        <f>+UPPER(Tabla1[[#This Row],[MATERIALES_REQUERIDOS]])</f>
        <v>TRAPOS, LAPICERO, MARCADOR, TIRRO, CINTA DE EMBALAR, PLASTICO, JABON, DESENGRASANTE.</v>
      </c>
      <c r="V171" t="str">
        <f>+UPPER(Tabla1[[#This Row],[EQUIPOS_USADOS]])</f>
        <v>TESTER, TALADRO, PULIDORA, ESMERIL</v>
      </c>
    </row>
    <row r="172" spans="1:22" ht="43.2" x14ac:dyDescent="0.3">
      <c r="A172" s="1" t="s">
        <v>503</v>
      </c>
      <c r="B172" s="1" t="s">
        <v>6</v>
      </c>
      <c r="C172" s="1" t="s">
        <v>33</v>
      </c>
      <c r="D172" s="1" t="s">
        <v>504</v>
      </c>
      <c r="E172" s="1" t="s">
        <v>28</v>
      </c>
      <c r="F172" s="1" t="s">
        <v>505</v>
      </c>
      <c r="G172" s="1">
        <v>2</v>
      </c>
      <c r="H172" s="1">
        <v>40</v>
      </c>
      <c r="I172" s="2">
        <v>46139</v>
      </c>
      <c r="J172" s="2">
        <v>46150</v>
      </c>
      <c r="K172" s="1" t="s">
        <v>13</v>
      </c>
      <c r="L172" s="6">
        <v>0.3</v>
      </c>
      <c r="M172" s="1" t="s">
        <v>10</v>
      </c>
      <c r="N172" s="1">
        <v>12</v>
      </c>
      <c r="P172" s="1" t="s">
        <v>54</v>
      </c>
      <c r="Q172" s="1" t="s">
        <v>54</v>
      </c>
      <c r="U172" t="str">
        <f>+UPPER(Tabla1[[#This Row],[MATERIALES_REQUERIDOS]])</f>
        <v/>
      </c>
      <c r="V172" t="str">
        <f>+UPPER(Tabla1[[#This Row],[EQUIPOS_USADOS]])</f>
        <v/>
      </c>
    </row>
    <row r="173" spans="1:22" ht="57.6" x14ac:dyDescent="0.3">
      <c r="A173" s="1" t="s">
        <v>506</v>
      </c>
      <c r="B173" s="1" t="s">
        <v>6</v>
      </c>
      <c r="C173" s="1" t="s">
        <v>36</v>
      </c>
      <c r="D173" s="1" t="s">
        <v>507</v>
      </c>
      <c r="E173" s="1" t="s">
        <v>28</v>
      </c>
      <c r="F173" s="1" t="s">
        <v>508</v>
      </c>
      <c r="G173" s="1">
        <v>2</v>
      </c>
      <c r="H173" s="1">
        <v>40</v>
      </c>
      <c r="I173" s="2">
        <v>46146</v>
      </c>
      <c r="J173" s="2">
        <v>46150</v>
      </c>
      <c r="K173" s="1" t="s">
        <v>13</v>
      </c>
      <c r="L173" s="6">
        <v>0.35</v>
      </c>
      <c r="M173" s="1" t="s">
        <v>10</v>
      </c>
      <c r="N173" s="1">
        <v>24</v>
      </c>
      <c r="P173" s="1" t="s">
        <v>495</v>
      </c>
      <c r="Q173" s="1" t="s">
        <v>496</v>
      </c>
      <c r="U173" t="str">
        <f>+UPPER(Tabla1[[#This Row],[MATERIALES_REQUERIDOS]])</f>
        <v>TRAPOS, LAPICERO, MARCADOR, TIRRO, CINTA DE EMBALAR, PLASTICO, JABON, DESENGRASANTE.</v>
      </c>
      <c r="V173" t="str">
        <f>+UPPER(Tabla1[[#This Row],[EQUIPOS_USADOS]])</f>
        <v>TESTER, TALADRO, PULIDORA, ESMERIL</v>
      </c>
    </row>
    <row r="174" spans="1:22" ht="57.6" x14ac:dyDescent="0.3">
      <c r="A174" s="1" t="s">
        <v>509</v>
      </c>
      <c r="B174" s="1" t="s">
        <v>6</v>
      </c>
      <c r="C174" s="1" t="s">
        <v>12</v>
      </c>
      <c r="D174" s="1" t="s">
        <v>510</v>
      </c>
      <c r="E174" s="1" t="s">
        <v>28</v>
      </c>
      <c r="F174" s="1" t="s">
        <v>511</v>
      </c>
      <c r="G174" s="1">
        <v>2</v>
      </c>
      <c r="H174" s="1">
        <v>40</v>
      </c>
      <c r="I174" s="2">
        <v>46146</v>
      </c>
      <c r="J174" s="2">
        <v>46150</v>
      </c>
      <c r="K174" s="1" t="s">
        <v>13</v>
      </c>
      <c r="L174" s="6">
        <v>0.1</v>
      </c>
      <c r="M174" s="1" t="s">
        <v>10</v>
      </c>
      <c r="N174" s="1">
        <v>12</v>
      </c>
      <c r="P174" s="1" t="s">
        <v>495</v>
      </c>
      <c r="Q174" s="1" t="s">
        <v>496</v>
      </c>
      <c r="U174" t="str">
        <f>+UPPER(Tabla1[[#This Row],[MATERIALES_REQUERIDOS]])</f>
        <v>TRAPOS, LAPICERO, MARCADOR, TIRRO, CINTA DE EMBALAR, PLASTICO, JABON, DESENGRASANTE.</v>
      </c>
      <c r="V174" t="str">
        <f>+UPPER(Tabla1[[#This Row],[EQUIPOS_USADOS]])</f>
        <v>TESTER, TALADRO, PULIDORA, ESMERIL</v>
      </c>
    </row>
    <row r="175" spans="1:22" ht="57.6" x14ac:dyDescent="0.3">
      <c r="A175" s="1" t="s">
        <v>512</v>
      </c>
      <c r="B175" s="1" t="s">
        <v>6</v>
      </c>
      <c r="C175" s="1" t="s">
        <v>34</v>
      </c>
      <c r="D175" s="1" t="s">
        <v>513</v>
      </c>
      <c r="E175" s="1" t="s">
        <v>28</v>
      </c>
      <c r="F175" s="1" t="s">
        <v>514</v>
      </c>
      <c r="G175" s="1">
        <v>2</v>
      </c>
      <c r="H175" s="1">
        <v>40</v>
      </c>
      <c r="I175" s="2">
        <v>46146</v>
      </c>
      <c r="J175" s="2">
        <v>46150</v>
      </c>
      <c r="K175" s="1" t="s">
        <v>13</v>
      </c>
      <c r="L175" s="6">
        <v>0.05</v>
      </c>
      <c r="M175" s="1" t="s">
        <v>10</v>
      </c>
      <c r="N175" s="1">
        <v>10</v>
      </c>
      <c r="P175" s="1" t="s">
        <v>495</v>
      </c>
      <c r="Q175" s="1" t="s">
        <v>496</v>
      </c>
      <c r="U175" t="str">
        <f>+UPPER(Tabla1[[#This Row],[MATERIALES_REQUERIDOS]])</f>
        <v>TRAPOS, LAPICERO, MARCADOR, TIRRO, CINTA DE EMBALAR, PLASTICO, JABON, DESENGRASANTE.</v>
      </c>
      <c r="V175" t="str">
        <f>+UPPER(Tabla1[[#This Row],[EQUIPOS_USADOS]])</f>
        <v>TESTER, TALADRO, PULIDORA, ESMERIL</v>
      </c>
    </row>
    <row r="176" spans="1:22" ht="57.6" x14ac:dyDescent="0.3">
      <c r="A176" s="1" t="s">
        <v>515</v>
      </c>
      <c r="B176" s="1" t="s">
        <v>6</v>
      </c>
      <c r="C176" s="1" t="s">
        <v>33</v>
      </c>
      <c r="D176" s="1" t="s">
        <v>516</v>
      </c>
      <c r="E176" s="1" t="s">
        <v>28</v>
      </c>
      <c r="F176" s="1" t="s">
        <v>517</v>
      </c>
      <c r="G176" s="1">
        <v>2</v>
      </c>
      <c r="H176" s="1">
        <v>40</v>
      </c>
      <c r="I176" s="2">
        <v>46146</v>
      </c>
      <c r="J176" s="2">
        <v>46150</v>
      </c>
      <c r="K176" s="1" t="s">
        <v>13</v>
      </c>
      <c r="L176" s="6">
        <v>0.05</v>
      </c>
      <c r="M176" s="1" t="s">
        <v>10</v>
      </c>
      <c r="N176" s="1">
        <v>10</v>
      </c>
      <c r="P176" s="1" t="s">
        <v>495</v>
      </c>
      <c r="Q176" s="1" t="s">
        <v>496</v>
      </c>
      <c r="U176" t="str">
        <f>+UPPER(Tabla1[[#This Row],[MATERIALES_REQUERIDOS]])</f>
        <v>TRAPOS, LAPICERO, MARCADOR, TIRRO, CINTA DE EMBALAR, PLASTICO, JABON, DESENGRASANTE.</v>
      </c>
      <c r="V176" t="str">
        <f>+UPPER(Tabla1[[#This Row],[EQUIPOS_USADOS]])</f>
        <v>TESTER, TALADRO, PULIDORA, ESMERIL</v>
      </c>
    </row>
    <row r="177" spans="1:22" ht="72" x14ac:dyDescent="0.3">
      <c r="A177" s="1" t="s">
        <v>518</v>
      </c>
      <c r="B177" s="1" t="s">
        <v>6</v>
      </c>
      <c r="C177" s="1" t="s">
        <v>27</v>
      </c>
      <c r="D177" s="1" t="s">
        <v>519</v>
      </c>
      <c r="E177" s="1" t="s">
        <v>28</v>
      </c>
      <c r="F177" s="1" t="s">
        <v>520</v>
      </c>
      <c r="G177" s="1">
        <v>2</v>
      </c>
      <c r="H177" s="1">
        <v>40</v>
      </c>
      <c r="I177" s="2">
        <v>46146</v>
      </c>
      <c r="J177" s="2">
        <v>46150</v>
      </c>
      <c r="K177" s="1" t="s">
        <v>13</v>
      </c>
      <c r="L177" s="6">
        <v>0.25</v>
      </c>
      <c r="M177" s="1" t="s">
        <v>10</v>
      </c>
      <c r="N177" s="1">
        <v>8</v>
      </c>
      <c r="P177" s="1" t="s">
        <v>495</v>
      </c>
      <c r="Q177" s="1" t="s">
        <v>496</v>
      </c>
      <c r="U177" t="str">
        <f>+UPPER(Tabla1[[#This Row],[MATERIALES_REQUERIDOS]])</f>
        <v>TRAPOS, LAPICERO, MARCADOR, TIRRO, CINTA DE EMBALAR, PLASTICO, JABON, DESENGRASANTE.</v>
      </c>
      <c r="V177" t="str">
        <f>+UPPER(Tabla1[[#This Row],[EQUIPOS_USADOS]])</f>
        <v>TESTER, TALADRO, PULIDORA, ESMERIL</v>
      </c>
    </row>
    <row r="178" spans="1:22" ht="28.8" x14ac:dyDescent="0.3">
      <c r="A178" s="1" t="s">
        <v>521</v>
      </c>
      <c r="B178" s="1" t="s">
        <v>29</v>
      </c>
      <c r="C178" s="1" t="s">
        <v>12</v>
      </c>
      <c r="D178" s="1" t="s">
        <v>522</v>
      </c>
      <c r="E178" s="1" t="s">
        <v>28</v>
      </c>
      <c r="F178" s="1" t="s">
        <v>523</v>
      </c>
      <c r="G178" s="1">
        <v>5</v>
      </c>
      <c r="H178" s="1">
        <v>2</v>
      </c>
      <c r="I178" s="2">
        <v>46146</v>
      </c>
      <c r="J178" s="2">
        <v>46146</v>
      </c>
      <c r="K178" s="1" t="s">
        <v>22</v>
      </c>
      <c r="L178" s="6">
        <v>1</v>
      </c>
      <c r="M178" s="1" t="s">
        <v>10</v>
      </c>
      <c r="N178" s="1">
        <v>2</v>
      </c>
      <c r="P178" s="1" t="s">
        <v>54</v>
      </c>
      <c r="Q178" s="1" t="s">
        <v>54</v>
      </c>
      <c r="U178" t="str">
        <f>+UPPER(Tabla1[[#This Row],[MATERIALES_REQUERIDOS]])</f>
        <v/>
      </c>
      <c r="V178" t="str">
        <f>+UPPER(Tabla1[[#This Row],[EQUIPOS_USADOS]])</f>
        <v/>
      </c>
    </row>
    <row r="179" spans="1:22" ht="28.8" x14ac:dyDescent="0.3">
      <c r="A179" s="1" t="s">
        <v>524</v>
      </c>
      <c r="B179" s="1" t="s">
        <v>29</v>
      </c>
      <c r="C179" s="1" t="s">
        <v>12</v>
      </c>
      <c r="D179" s="1" t="s">
        <v>522</v>
      </c>
      <c r="E179" s="1" t="s">
        <v>28</v>
      </c>
      <c r="F179" s="1" t="s">
        <v>525</v>
      </c>
      <c r="G179" s="1">
        <v>5</v>
      </c>
      <c r="H179" s="1">
        <v>0.3</v>
      </c>
      <c r="I179" s="2">
        <v>46146</v>
      </c>
      <c r="J179" s="2">
        <v>46146</v>
      </c>
      <c r="K179" s="1" t="s">
        <v>22</v>
      </c>
      <c r="L179" s="6">
        <v>1</v>
      </c>
      <c r="M179" s="1" t="s">
        <v>10</v>
      </c>
      <c r="N179" s="1">
        <v>0.3</v>
      </c>
      <c r="P179" s="1" t="s">
        <v>54</v>
      </c>
      <c r="Q179" s="1" t="s">
        <v>54</v>
      </c>
      <c r="U179" t="str">
        <f>+UPPER(Tabla1[[#This Row],[MATERIALES_REQUERIDOS]])</f>
        <v/>
      </c>
      <c r="V179" t="str">
        <f>+UPPER(Tabla1[[#This Row],[EQUIPOS_USADOS]])</f>
        <v/>
      </c>
    </row>
    <row r="180" spans="1:22" ht="28.8" x14ac:dyDescent="0.3">
      <c r="A180" s="1" t="s">
        <v>526</v>
      </c>
      <c r="B180" s="1" t="s">
        <v>29</v>
      </c>
      <c r="C180" s="1" t="s">
        <v>12</v>
      </c>
      <c r="D180" s="1" t="s">
        <v>522</v>
      </c>
      <c r="E180" s="1" t="s">
        <v>28</v>
      </c>
      <c r="F180" s="1" t="s">
        <v>527</v>
      </c>
      <c r="G180" s="1">
        <v>5</v>
      </c>
      <c r="H180" s="1">
        <v>1</v>
      </c>
      <c r="I180" s="2">
        <v>46146</v>
      </c>
      <c r="J180" s="2">
        <v>46146</v>
      </c>
      <c r="K180" s="1" t="s">
        <v>22</v>
      </c>
      <c r="L180" s="6">
        <v>1</v>
      </c>
      <c r="M180" s="1" t="s">
        <v>10</v>
      </c>
      <c r="N180" s="1">
        <v>1</v>
      </c>
      <c r="P180" s="1" t="s">
        <v>54</v>
      </c>
      <c r="Q180" s="1" t="s">
        <v>54</v>
      </c>
      <c r="U180" t="str">
        <f>+UPPER(Tabla1[[#This Row],[MATERIALES_REQUERIDOS]])</f>
        <v/>
      </c>
      <c r="V180" t="str">
        <f>+UPPER(Tabla1[[#This Row],[EQUIPOS_USADOS]])</f>
        <v/>
      </c>
    </row>
    <row r="181" spans="1:22" ht="28.8" x14ac:dyDescent="0.3">
      <c r="A181" s="1" t="s">
        <v>528</v>
      </c>
      <c r="B181" s="1" t="s">
        <v>29</v>
      </c>
      <c r="C181" s="1" t="s">
        <v>12</v>
      </c>
      <c r="D181" s="1" t="s">
        <v>522</v>
      </c>
      <c r="E181" s="1" t="s">
        <v>28</v>
      </c>
      <c r="F181" s="1" t="s">
        <v>529</v>
      </c>
      <c r="G181" s="1">
        <v>5</v>
      </c>
      <c r="H181" s="1">
        <v>1</v>
      </c>
      <c r="I181" s="2">
        <v>46146</v>
      </c>
      <c r="J181" s="2">
        <v>46146</v>
      </c>
      <c r="K181" s="1" t="s">
        <v>22</v>
      </c>
      <c r="L181" s="6">
        <v>1</v>
      </c>
      <c r="M181" s="1" t="s">
        <v>10</v>
      </c>
      <c r="N181" s="1">
        <v>1</v>
      </c>
      <c r="P181" s="1" t="s">
        <v>54</v>
      </c>
      <c r="Q181" s="1" t="s">
        <v>54</v>
      </c>
      <c r="U181" t="str">
        <f>+UPPER(Tabla1[[#This Row],[MATERIALES_REQUERIDOS]])</f>
        <v/>
      </c>
      <c r="V181" t="str">
        <f>+UPPER(Tabla1[[#This Row],[EQUIPOS_USADOS]])</f>
        <v/>
      </c>
    </row>
    <row r="182" spans="1:22" ht="28.8" x14ac:dyDescent="0.3">
      <c r="A182" s="1" t="s">
        <v>530</v>
      </c>
      <c r="B182" s="1" t="s">
        <v>29</v>
      </c>
      <c r="C182" s="1" t="s">
        <v>12</v>
      </c>
      <c r="D182" s="1" t="s">
        <v>522</v>
      </c>
      <c r="E182" s="1" t="s">
        <v>28</v>
      </c>
      <c r="F182" s="1" t="s">
        <v>531</v>
      </c>
      <c r="G182" s="1">
        <v>5</v>
      </c>
      <c r="H182" s="1">
        <v>1</v>
      </c>
      <c r="I182" s="2">
        <v>46146</v>
      </c>
      <c r="J182" s="2">
        <v>46146</v>
      </c>
      <c r="K182" s="1" t="s">
        <v>22</v>
      </c>
      <c r="L182" s="6">
        <v>1</v>
      </c>
      <c r="M182" s="1" t="s">
        <v>10</v>
      </c>
      <c r="N182" s="1">
        <v>1</v>
      </c>
      <c r="P182" s="1" t="s">
        <v>54</v>
      </c>
      <c r="Q182" s="1" t="s">
        <v>54</v>
      </c>
      <c r="U182" t="str">
        <f>+UPPER(Tabla1[[#This Row],[MATERIALES_REQUERIDOS]])</f>
        <v/>
      </c>
      <c r="V182" t="str">
        <f>+UPPER(Tabla1[[#This Row],[EQUIPOS_USADOS]])</f>
        <v/>
      </c>
    </row>
    <row r="183" spans="1:22" ht="28.8" x14ac:dyDescent="0.3">
      <c r="A183" s="1" t="s">
        <v>532</v>
      </c>
      <c r="B183" s="1" t="s">
        <v>29</v>
      </c>
      <c r="C183" s="1" t="s">
        <v>12</v>
      </c>
      <c r="D183" s="1" t="s">
        <v>522</v>
      </c>
      <c r="E183" s="1" t="s">
        <v>28</v>
      </c>
      <c r="F183" s="1" t="s">
        <v>533</v>
      </c>
      <c r="G183" s="1">
        <v>5</v>
      </c>
      <c r="H183" s="1">
        <v>1</v>
      </c>
      <c r="I183" s="2">
        <v>46146</v>
      </c>
      <c r="J183" s="2">
        <v>46146</v>
      </c>
      <c r="K183" s="1" t="s">
        <v>22</v>
      </c>
      <c r="L183" s="6">
        <v>1</v>
      </c>
      <c r="M183" s="1" t="s">
        <v>10</v>
      </c>
      <c r="N183" s="1">
        <v>1</v>
      </c>
      <c r="P183" s="1" t="s">
        <v>54</v>
      </c>
      <c r="Q183" s="1" t="s">
        <v>54</v>
      </c>
      <c r="U183" t="str">
        <f>+UPPER(Tabla1[[#This Row],[MATERIALES_REQUERIDOS]])</f>
        <v/>
      </c>
      <c r="V183" t="str">
        <f>+UPPER(Tabla1[[#This Row],[EQUIPOS_USADOS]])</f>
        <v/>
      </c>
    </row>
    <row r="184" spans="1:22" ht="28.8" x14ac:dyDescent="0.3">
      <c r="A184" s="1" t="s">
        <v>534</v>
      </c>
      <c r="B184" s="1" t="s">
        <v>29</v>
      </c>
      <c r="C184" s="1" t="s">
        <v>12</v>
      </c>
      <c r="D184" s="1" t="s">
        <v>522</v>
      </c>
      <c r="E184" s="1" t="s">
        <v>28</v>
      </c>
      <c r="F184" s="1" t="s">
        <v>535</v>
      </c>
      <c r="G184" s="1">
        <v>5</v>
      </c>
      <c r="H184" s="1">
        <v>0.3</v>
      </c>
      <c r="I184" s="2">
        <v>46146</v>
      </c>
      <c r="J184" s="2">
        <v>46146</v>
      </c>
      <c r="K184" s="1" t="s">
        <v>22</v>
      </c>
      <c r="L184" s="6">
        <v>1</v>
      </c>
      <c r="M184" s="1" t="s">
        <v>10</v>
      </c>
      <c r="N184" s="1">
        <v>0.3</v>
      </c>
      <c r="P184" s="1" t="s">
        <v>54</v>
      </c>
      <c r="Q184" s="1" t="s">
        <v>54</v>
      </c>
      <c r="U184" t="str">
        <f>+UPPER(Tabla1[[#This Row],[MATERIALES_REQUERIDOS]])</f>
        <v/>
      </c>
      <c r="V184" t="str">
        <f>+UPPER(Tabla1[[#This Row],[EQUIPOS_USADOS]])</f>
        <v/>
      </c>
    </row>
    <row r="185" spans="1:22" ht="28.8" x14ac:dyDescent="0.3">
      <c r="A185" s="1" t="s">
        <v>536</v>
      </c>
      <c r="B185" s="1" t="s">
        <v>29</v>
      </c>
      <c r="C185" s="1" t="s">
        <v>12</v>
      </c>
      <c r="D185" s="1" t="s">
        <v>522</v>
      </c>
      <c r="E185" s="1" t="s">
        <v>17</v>
      </c>
      <c r="F185" s="1" t="s">
        <v>537</v>
      </c>
      <c r="G185" s="1">
        <v>4</v>
      </c>
      <c r="H185" s="1">
        <v>1</v>
      </c>
      <c r="I185" s="2">
        <v>46146</v>
      </c>
      <c r="J185" s="2">
        <v>46146</v>
      </c>
      <c r="K185" s="1" t="s">
        <v>22</v>
      </c>
      <c r="L185" s="6">
        <v>1</v>
      </c>
      <c r="M185" s="1" t="s">
        <v>10</v>
      </c>
      <c r="N185" s="1">
        <v>1</v>
      </c>
      <c r="P185" s="1" t="s">
        <v>538</v>
      </c>
      <c r="Q185" s="1" t="s">
        <v>539</v>
      </c>
      <c r="U185" t="str">
        <f>+UPPER(Tabla1[[#This Row],[MATERIALES_REQUERIDOS]])</f>
        <v>AGUA, TRAPOS, CEPILLOS</v>
      </c>
      <c r="V185" t="str">
        <f>+UPPER(Tabla1[[#This Row],[EQUIPOS_USADOS]])</f>
        <v>N/A</v>
      </c>
    </row>
    <row r="186" spans="1:22" ht="28.8" x14ac:dyDescent="0.3">
      <c r="A186" s="1" t="s">
        <v>540</v>
      </c>
      <c r="B186" s="1" t="s">
        <v>29</v>
      </c>
      <c r="C186" s="1" t="s">
        <v>12</v>
      </c>
      <c r="D186" s="1" t="s">
        <v>522</v>
      </c>
      <c r="E186" s="1" t="s">
        <v>28</v>
      </c>
      <c r="F186" s="1" t="s">
        <v>523</v>
      </c>
      <c r="G186" s="1">
        <v>5</v>
      </c>
      <c r="H186" s="1">
        <v>2</v>
      </c>
      <c r="I186" s="2">
        <v>46147</v>
      </c>
      <c r="J186" s="2">
        <v>46147</v>
      </c>
      <c r="K186" s="1" t="s">
        <v>22</v>
      </c>
      <c r="L186" s="6">
        <v>1</v>
      </c>
      <c r="M186" s="1" t="s">
        <v>10</v>
      </c>
      <c r="N186" s="1">
        <v>1</v>
      </c>
      <c r="P186" s="1" t="s">
        <v>54</v>
      </c>
      <c r="Q186" s="1" t="s">
        <v>54</v>
      </c>
      <c r="U186" t="str">
        <f>+UPPER(Tabla1[[#This Row],[MATERIALES_REQUERIDOS]])</f>
        <v/>
      </c>
      <c r="V186" t="str">
        <f>+UPPER(Tabla1[[#This Row],[EQUIPOS_USADOS]])</f>
        <v/>
      </c>
    </row>
    <row r="187" spans="1:22" ht="28.8" x14ac:dyDescent="0.3">
      <c r="A187" s="1" t="s">
        <v>541</v>
      </c>
      <c r="B187" s="1" t="s">
        <v>29</v>
      </c>
      <c r="C187" s="1" t="s">
        <v>12</v>
      </c>
      <c r="D187" s="1" t="s">
        <v>542</v>
      </c>
      <c r="E187" s="1" t="s">
        <v>28</v>
      </c>
      <c r="F187" s="1" t="s">
        <v>543</v>
      </c>
      <c r="G187" s="1">
        <v>5</v>
      </c>
      <c r="H187" s="1">
        <v>0.3</v>
      </c>
      <c r="I187" s="2">
        <v>46147</v>
      </c>
      <c r="J187" s="2">
        <v>46147</v>
      </c>
      <c r="K187" s="1" t="s">
        <v>22</v>
      </c>
      <c r="L187" s="6">
        <v>1</v>
      </c>
      <c r="M187" s="1" t="s">
        <v>10</v>
      </c>
      <c r="P187" s="1" t="s">
        <v>54</v>
      </c>
      <c r="Q187" s="1" t="s">
        <v>54</v>
      </c>
      <c r="U187" t="str">
        <f>+UPPER(Tabla1[[#This Row],[MATERIALES_REQUERIDOS]])</f>
        <v/>
      </c>
      <c r="V187" t="str">
        <f>+UPPER(Tabla1[[#This Row],[EQUIPOS_USADOS]])</f>
        <v/>
      </c>
    </row>
    <row r="188" spans="1:22" ht="28.8" x14ac:dyDescent="0.3">
      <c r="A188" s="1" t="s">
        <v>544</v>
      </c>
      <c r="B188" s="1" t="s">
        <v>29</v>
      </c>
      <c r="C188" s="1" t="s">
        <v>12</v>
      </c>
      <c r="D188" s="1" t="s">
        <v>542</v>
      </c>
      <c r="E188" s="1" t="s">
        <v>28</v>
      </c>
      <c r="F188" s="1" t="s">
        <v>545</v>
      </c>
      <c r="G188" s="1">
        <v>5</v>
      </c>
      <c r="H188" s="1">
        <v>1</v>
      </c>
      <c r="I188" s="2">
        <v>46147</v>
      </c>
      <c r="J188" s="2">
        <v>46147</v>
      </c>
      <c r="K188" s="1" t="s">
        <v>22</v>
      </c>
      <c r="L188" s="6">
        <v>1</v>
      </c>
      <c r="M188" s="1" t="s">
        <v>10</v>
      </c>
      <c r="P188" s="1" t="s">
        <v>54</v>
      </c>
      <c r="Q188" s="1" t="s">
        <v>54</v>
      </c>
      <c r="U188" t="str">
        <f>+UPPER(Tabla1[[#This Row],[MATERIALES_REQUERIDOS]])</f>
        <v/>
      </c>
      <c r="V188" t="str">
        <f>+UPPER(Tabla1[[#This Row],[EQUIPOS_USADOS]])</f>
        <v/>
      </c>
    </row>
    <row r="189" spans="1:22" ht="28.8" x14ac:dyDescent="0.3">
      <c r="A189" s="1" t="s">
        <v>546</v>
      </c>
      <c r="B189" s="1" t="s">
        <v>29</v>
      </c>
      <c r="C189" s="1" t="s">
        <v>12</v>
      </c>
      <c r="D189" s="1" t="s">
        <v>542</v>
      </c>
      <c r="E189" s="1" t="s">
        <v>28</v>
      </c>
      <c r="F189" s="1" t="s">
        <v>547</v>
      </c>
      <c r="G189" s="1">
        <v>5</v>
      </c>
      <c r="H189" s="1">
        <v>0.3</v>
      </c>
      <c r="I189" s="2">
        <v>46147</v>
      </c>
      <c r="J189" s="2">
        <v>46147</v>
      </c>
      <c r="K189" s="1" t="s">
        <v>22</v>
      </c>
      <c r="L189" s="6">
        <v>1</v>
      </c>
      <c r="M189" s="1" t="s">
        <v>10</v>
      </c>
      <c r="P189" s="1" t="s">
        <v>54</v>
      </c>
      <c r="Q189" s="1" t="s">
        <v>54</v>
      </c>
      <c r="U189" t="str">
        <f>+UPPER(Tabla1[[#This Row],[MATERIALES_REQUERIDOS]])</f>
        <v/>
      </c>
      <c r="V189" t="str">
        <f>+UPPER(Tabla1[[#This Row],[EQUIPOS_USADOS]])</f>
        <v/>
      </c>
    </row>
    <row r="190" spans="1:22" ht="28.8" x14ac:dyDescent="0.3">
      <c r="A190" s="1" t="s">
        <v>548</v>
      </c>
      <c r="B190" s="1" t="s">
        <v>29</v>
      </c>
      <c r="C190" s="1" t="s">
        <v>12</v>
      </c>
      <c r="D190" s="1" t="s">
        <v>549</v>
      </c>
      <c r="E190" s="1" t="s">
        <v>28</v>
      </c>
      <c r="F190" s="1" t="s">
        <v>550</v>
      </c>
      <c r="G190" s="1">
        <v>5</v>
      </c>
      <c r="H190" s="1">
        <v>2</v>
      </c>
      <c r="I190" s="2">
        <v>46147</v>
      </c>
      <c r="J190" s="2">
        <v>46147</v>
      </c>
      <c r="K190" s="1" t="s">
        <v>22</v>
      </c>
      <c r="L190" s="6">
        <v>1</v>
      </c>
      <c r="M190" s="1" t="s">
        <v>10</v>
      </c>
      <c r="P190" s="1" t="s">
        <v>54</v>
      </c>
      <c r="Q190" s="1" t="s">
        <v>54</v>
      </c>
      <c r="U190" t="str">
        <f>+UPPER(Tabla1[[#This Row],[MATERIALES_REQUERIDOS]])</f>
        <v/>
      </c>
      <c r="V190" t="str">
        <f>+UPPER(Tabla1[[#This Row],[EQUIPOS_USADOS]])</f>
        <v/>
      </c>
    </row>
    <row r="191" spans="1:22" ht="28.8" x14ac:dyDescent="0.3">
      <c r="A191" s="1" t="s">
        <v>551</v>
      </c>
      <c r="B191" s="1" t="s">
        <v>29</v>
      </c>
      <c r="C191" s="1" t="s">
        <v>12</v>
      </c>
      <c r="D191" s="1" t="s">
        <v>549</v>
      </c>
      <c r="E191" s="1" t="s">
        <v>28</v>
      </c>
      <c r="F191" s="1" t="s">
        <v>552</v>
      </c>
      <c r="G191" s="1">
        <v>5</v>
      </c>
      <c r="H191" s="1">
        <v>0.3</v>
      </c>
      <c r="I191" s="2">
        <v>46147</v>
      </c>
      <c r="J191" s="2">
        <v>46147</v>
      </c>
      <c r="K191" s="1" t="s">
        <v>22</v>
      </c>
      <c r="L191" s="6">
        <v>1</v>
      </c>
      <c r="M191" s="1" t="s">
        <v>10</v>
      </c>
      <c r="P191" s="1" t="s">
        <v>54</v>
      </c>
      <c r="Q191" s="1" t="s">
        <v>54</v>
      </c>
      <c r="U191" t="str">
        <f>+UPPER(Tabla1[[#This Row],[MATERIALES_REQUERIDOS]])</f>
        <v/>
      </c>
      <c r="V191" t="str">
        <f>+UPPER(Tabla1[[#This Row],[EQUIPOS_USADOS]])</f>
        <v/>
      </c>
    </row>
    <row r="192" spans="1:22" ht="28.8" x14ac:dyDescent="0.3">
      <c r="A192" s="1" t="s">
        <v>553</v>
      </c>
      <c r="B192" s="1" t="s">
        <v>29</v>
      </c>
      <c r="C192" s="1" t="s">
        <v>12</v>
      </c>
      <c r="D192" s="1" t="s">
        <v>549</v>
      </c>
      <c r="E192" s="1" t="s">
        <v>28</v>
      </c>
      <c r="F192" s="1" t="s">
        <v>554</v>
      </c>
      <c r="G192" s="1">
        <v>5</v>
      </c>
      <c r="H192" s="1">
        <v>1</v>
      </c>
      <c r="I192" s="2">
        <v>46147</v>
      </c>
      <c r="J192" s="2">
        <v>46147</v>
      </c>
      <c r="K192" s="1" t="s">
        <v>22</v>
      </c>
      <c r="L192" s="6">
        <v>1</v>
      </c>
      <c r="M192" s="1" t="s">
        <v>10</v>
      </c>
      <c r="P192" s="1" t="s">
        <v>54</v>
      </c>
      <c r="Q192" s="1" t="s">
        <v>54</v>
      </c>
      <c r="U192" t="str">
        <f>+UPPER(Tabla1[[#This Row],[MATERIALES_REQUERIDOS]])</f>
        <v/>
      </c>
      <c r="V192" t="str">
        <f>+UPPER(Tabla1[[#This Row],[EQUIPOS_USADOS]])</f>
        <v/>
      </c>
    </row>
    <row r="193" spans="1:22" ht="28.8" x14ac:dyDescent="0.3">
      <c r="A193" s="1" t="s">
        <v>555</v>
      </c>
      <c r="B193" s="1" t="s">
        <v>29</v>
      </c>
      <c r="C193" s="1" t="s">
        <v>12</v>
      </c>
      <c r="D193" s="1" t="s">
        <v>549</v>
      </c>
      <c r="E193" s="1" t="s">
        <v>28</v>
      </c>
      <c r="F193" s="1" t="s">
        <v>556</v>
      </c>
      <c r="G193" s="1">
        <v>5</v>
      </c>
      <c r="H193" s="1">
        <v>0.3</v>
      </c>
      <c r="I193" s="2">
        <v>46147</v>
      </c>
      <c r="J193" s="2">
        <v>46147</v>
      </c>
      <c r="K193" s="1" t="s">
        <v>22</v>
      </c>
      <c r="L193" s="6">
        <v>1</v>
      </c>
      <c r="M193" s="1" t="s">
        <v>10</v>
      </c>
      <c r="P193" s="1" t="s">
        <v>54</v>
      </c>
      <c r="Q193" s="1" t="s">
        <v>54</v>
      </c>
      <c r="U193" t="str">
        <f>+UPPER(Tabla1[[#This Row],[MATERIALES_REQUERIDOS]])</f>
        <v/>
      </c>
      <c r="V193" t="str">
        <f>+UPPER(Tabla1[[#This Row],[EQUIPOS_USADOS]])</f>
        <v/>
      </c>
    </row>
    <row r="194" spans="1:22" ht="43.2" x14ac:dyDescent="0.3">
      <c r="A194" s="1" t="s">
        <v>557</v>
      </c>
      <c r="B194" s="1" t="s">
        <v>29</v>
      </c>
      <c r="C194" s="1" t="s">
        <v>12</v>
      </c>
      <c r="D194" s="1" t="s">
        <v>558</v>
      </c>
      <c r="E194" s="1" t="s">
        <v>28</v>
      </c>
      <c r="F194" s="1" t="s">
        <v>559</v>
      </c>
      <c r="G194" s="1">
        <v>4</v>
      </c>
      <c r="H194" s="1">
        <v>4</v>
      </c>
      <c r="I194" s="2">
        <v>46148</v>
      </c>
      <c r="J194" s="2">
        <v>46150</v>
      </c>
      <c r="K194" s="1" t="s">
        <v>9</v>
      </c>
      <c r="L194" s="6">
        <v>0</v>
      </c>
      <c r="M194" s="1" t="s">
        <v>10</v>
      </c>
      <c r="P194" s="1" t="s">
        <v>54</v>
      </c>
      <c r="Q194" s="1" t="s">
        <v>54</v>
      </c>
      <c r="U194" t="str">
        <f>+UPPER(Tabla1[[#This Row],[MATERIALES_REQUERIDOS]])</f>
        <v/>
      </c>
      <c r="V194" t="str">
        <f>+UPPER(Tabla1[[#This Row],[EQUIPOS_USADOS]])</f>
        <v/>
      </c>
    </row>
    <row r="195" spans="1:22" ht="43.2" x14ac:dyDescent="0.3">
      <c r="A195" s="1" t="s">
        <v>560</v>
      </c>
      <c r="B195" s="1" t="s">
        <v>29</v>
      </c>
      <c r="C195" s="1" t="s">
        <v>12</v>
      </c>
      <c r="D195" s="1" t="s">
        <v>558</v>
      </c>
      <c r="E195" s="1" t="s">
        <v>28</v>
      </c>
      <c r="F195" s="1" t="s">
        <v>561</v>
      </c>
      <c r="G195" s="1">
        <v>4</v>
      </c>
      <c r="H195" s="1">
        <v>4</v>
      </c>
      <c r="I195" s="2">
        <v>46148</v>
      </c>
      <c r="J195" s="2">
        <v>46150</v>
      </c>
      <c r="K195" s="1" t="s">
        <v>9</v>
      </c>
      <c r="L195" s="6">
        <v>0</v>
      </c>
      <c r="M195" s="1" t="s">
        <v>10</v>
      </c>
      <c r="P195" s="1" t="s">
        <v>54</v>
      </c>
      <c r="Q195" s="1" t="s">
        <v>54</v>
      </c>
      <c r="U195" t="str">
        <f>+UPPER(Tabla1[[#This Row],[MATERIALES_REQUERIDOS]])</f>
        <v/>
      </c>
      <c r="V195" t="str">
        <f>+UPPER(Tabla1[[#This Row],[EQUIPOS_USADOS]])</f>
        <v/>
      </c>
    </row>
    <row r="196" spans="1:22" ht="43.2" x14ac:dyDescent="0.3">
      <c r="A196" s="1" t="s">
        <v>562</v>
      </c>
      <c r="B196" s="1" t="s">
        <v>29</v>
      </c>
      <c r="C196" s="1" t="s">
        <v>12</v>
      </c>
      <c r="D196" s="1" t="s">
        <v>558</v>
      </c>
      <c r="E196" s="1" t="s">
        <v>28</v>
      </c>
      <c r="F196" s="1" t="s">
        <v>563</v>
      </c>
      <c r="G196" s="1">
        <v>4</v>
      </c>
      <c r="H196" s="1">
        <v>6</v>
      </c>
      <c r="I196" s="2">
        <v>46148</v>
      </c>
      <c r="J196" s="2">
        <v>46150</v>
      </c>
      <c r="K196" s="1" t="s">
        <v>9</v>
      </c>
      <c r="L196" s="6">
        <v>0</v>
      </c>
      <c r="M196" s="1" t="s">
        <v>10</v>
      </c>
      <c r="P196" s="1" t="s">
        <v>54</v>
      </c>
      <c r="Q196" s="1" t="s">
        <v>54</v>
      </c>
      <c r="U196" t="str">
        <f>+UPPER(Tabla1[[#This Row],[MATERIALES_REQUERIDOS]])</f>
        <v/>
      </c>
      <c r="V196" t="str">
        <f>+UPPER(Tabla1[[#This Row],[EQUIPOS_USADOS]])</f>
        <v/>
      </c>
    </row>
    <row r="197" spans="1:22" ht="28.8" x14ac:dyDescent="0.3">
      <c r="A197" s="1" t="s">
        <v>564</v>
      </c>
      <c r="B197" s="1" t="s">
        <v>29</v>
      </c>
      <c r="C197" s="1" t="s">
        <v>12</v>
      </c>
      <c r="D197" s="1" t="s">
        <v>558</v>
      </c>
      <c r="E197" s="1" t="s">
        <v>28</v>
      </c>
      <c r="F197" s="1" t="s">
        <v>565</v>
      </c>
      <c r="G197" s="1">
        <v>4</v>
      </c>
      <c r="H197" s="1">
        <v>2</v>
      </c>
      <c r="I197" s="2">
        <v>46148</v>
      </c>
      <c r="J197" s="2">
        <v>46150</v>
      </c>
      <c r="K197" s="1" t="s">
        <v>9</v>
      </c>
      <c r="L197" s="6">
        <v>0</v>
      </c>
      <c r="M197" s="1" t="s">
        <v>10</v>
      </c>
      <c r="P197" s="1" t="s">
        <v>54</v>
      </c>
      <c r="Q197" s="1" t="s">
        <v>54</v>
      </c>
      <c r="U197" t="str">
        <f>+UPPER(Tabla1[[#This Row],[MATERIALES_REQUERIDOS]])</f>
        <v/>
      </c>
      <c r="V197" t="str">
        <f>+UPPER(Tabla1[[#This Row],[EQUIPOS_USADOS]])</f>
        <v/>
      </c>
    </row>
    <row r="198" spans="1:22" ht="43.2" x14ac:dyDescent="0.3">
      <c r="A198" s="1" t="s">
        <v>566</v>
      </c>
      <c r="B198" s="1" t="s">
        <v>29</v>
      </c>
      <c r="C198" s="1" t="s">
        <v>12</v>
      </c>
      <c r="D198" s="1" t="s">
        <v>558</v>
      </c>
      <c r="E198" s="1" t="s">
        <v>28</v>
      </c>
      <c r="F198" s="1" t="s">
        <v>567</v>
      </c>
      <c r="G198" s="1">
        <v>4</v>
      </c>
      <c r="H198" s="1">
        <v>4</v>
      </c>
      <c r="I198" s="2">
        <v>46148</v>
      </c>
      <c r="J198" s="2">
        <v>46150</v>
      </c>
      <c r="K198" s="1" t="s">
        <v>9</v>
      </c>
      <c r="L198" s="6">
        <v>0</v>
      </c>
      <c r="M198" s="1" t="s">
        <v>10</v>
      </c>
      <c r="P198" s="1" t="s">
        <v>54</v>
      </c>
      <c r="Q198" s="1" t="s">
        <v>54</v>
      </c>
      <c r="U198" t="str">
        <f>+UPPER(Tabla1[[#This Row],[MATERIALES_REQUERIDOS]])</f>
        <v/>
      </c>
      <c r="V198" t="str">
        <f>+UPPER(Tabla1[[#This Row],[EQUIPOS_USADOS]])</f>
        <v/>
      </c>
    </row>
    <row r="199" spans="1:22" ht="28.8" x14ac:dyDescent="0.3">
      <c r="A199" s="1" t="s">
        <v>568</v>
      </c>
      <c r="B199" s="1" t="s">
        <v>29</v>
      </c>
      <c r="C199" s="1" t="s">
        <v>12</v>
      </c>
      <c r="D199" s="1" t="s">
        <v>558</v>
      </c>
      <c r="E199" s="1" t="s">
        <v>28</v>
      </c>
      <c r="F199" s="1" t="s">
        <v>569</v>
      </c>
      <c r="G199" s="1">
        <v>4</v>
      </c>
      <c r="H199" s="1">
        <v>3</v>
      </c>
      <c r="I199" s="2">
        <v>46148</v>
      </c>
      <c r="J199" s="2">
        <v>46150</v>
      </c>
      <c r="K199" s="1" t="s">
        <v>9</v>
      </c>
      <c r="L199" s="6">
        <v>0</v>
      </c>
      <c r="M199" s="1" t="s">
        <v>10</v>
      </c>
      <c r="P199" s="1" t="s">
        <v>54</v>
      </c>
      <c r="Q199" s="1" t="s">
        <v>54</v>
      </c>
      <c r="U199" t="str">
        <f>+UPPER(Tabla1[[#This Row],[MATERIALES_REQUERIDOS]])</f>
        <v/>
      </c>
      <c r="V199" t="str">
        <f>+UPPER(Tabla1[[#This Row],[EQUIPOS_USADOS]])</f>
        <v/>
      </c>
    </row>
    <row r="200" spans="1:22" ht="43.2" x14ac:dyDescent="0.3">
      <c r="A200" s="1" t="s">
        <v>570</v>
      </c>
      <c r="B200" s="1" t="s">
        <v>29</v>
      </c>
      <c r="C200" s="1" t="s">
        <v>12</v>
      </c>
      <c r="D200" s="1" t="s">
        <v>571</v>
      </c>
      <c r="E200" s="1" t="s">
        <v>25</v>
      </c>
      <c r="F200" s="1" t="s">
        <v>572</v>
      </c>
      <c r="G200" s="1">
        <v>4</v>
      </c>
      <c r="H200" s="1">
        <v>0.5</v>
      </c>
      <c r="I200" s="2">
        <v>46147</v>
      </c>
      <c r="J200" s="2">
        <v>46147</v>
      </c>
      <c r="K200" s="1" t="s">
        <v>22</v>
      </c>
      <c r="L200" s="6">
        <v>1</v>
      </c>
      <c r="M200" s="1" t="s">
        <v>10</v>
      </c>
      <c r="N200" s="1">
        <v>0.5</v>
      </c>
      <c r="P200" s="1" t="s">
        <v>573</v>
      </c>
      <c r="Q200" s="1" t="s">
        <v>539</v>
      </c>
      <c r="R200" s="1" t="s">
        <v>324</v>
      </c>
      <c r="U200" t="str">
        <f>+UPPER(Tabla1[[#This Row],[MATERIALES_REQUERIDOS]])</f>
        <v>TRAPOS, PLIEGO DE LIJA 80, FORMULA MERCANICA, GRASA INDUSTRIAL, ENVOPLAST</v>
      </c>
      <c r="V200" t="str">
        <f>+UPPER(Tabla1[[#This Row],[EQUIPOS_USADOS]])</f>
        <v>N/A</v>
      </c>
    </row>
    <row r="201" spans="1:22" ht="28.8" x14ac:dyDescent="0.3">
      <c r="A201" s="1" t="s">
        <v>574</v>
      </c>
      <c r="B201" s="1" t="s">
        <v>29</v>
      </c>
      <c r="C201" s="1" t="s">
        <v>12</v>
      </c>
      <c r="D201" s="1" t="s">
        <v>575</v>
      </c>
      <c r="E201" s="1" t="s">
        <v>25</v>
      </c>
      <c r="F201" s="1" t="s">
        <v>576</v>
      </c>
      <c r="G201" s="1">
        <v>4</v>
      </c>
      <c r="H201" s="1">
        <v>0.5</v>
      </c>
      <c r="I201" s="2">
        <v>46147</v>
      </c>
      <c r="J201" s="2">
        <v>46147</v>
      </c>
      <c r="K201" s="1" t="s">
        <v>22</v>
      </c>
      <c r="L201" s="6">
        <v>1</v>
      </c>
      <c r="M201" s="1" t="s">
        <v>10</v>
      </c>
      <c r="N201" s="1">
        <v>0.5</v>
      </c>
      <c r="P201" s="1" t="s">
        <v>538</v>
      </c>
      <c r="Q201" s="1" t="s">
        <v>539</v>
      </c>
      <c r="R201" s="1" t="s">
        <v>324</v>
      </c>
      <c r="U201" t="str">
        <f>+UPPER(Tabla1[[#This Row],[MATERIALES_REQUERIDOS]])</f>
        <v>AGUA, TRAPOS, CEPILLOS</v>
      </c>
      <c r="V201" t="str">
        <f>+UPPER(Tabla1[[#This Row],[EQUIPOS_USADOS]])</f>
        <v>N/A</v>
      </c>
    </row>
    <row r="202" spans="1:22" ht="28.8" x14ac:dyDescent="0.3">
      <c r="A202" s="1" t="s">
        <v>577</v>
      </c>
      <c r="B202" s="1" t="s">
        <v>35</v>
      </c>
      <c r="C202" s="1" t="s">
        <v>35</v>
      </c>
      <c r="D202" s="1" t="s">
        <v>578</v>
      </c>
      <c r="E202" s="1" t="s">
        <v>25</v>
      </c>
      <c r="F202" s="1" t="s">
        <v>579</v>
      </c>
      <c r="G202" s="1">
        <v>2</v>
      </c>
      <c r="H202" s="1">
        <v>16</v>
      </c>
      <c r="I202" s="2">
        <v>46146</v>
      </c>
      <c r="J202" s="2">
        <v>46147</v>
      </c>
      <c r="K202" s="1" t="s">
        <v>13</v>
      </c>
      <c r="L202" s="6">
        <v>0.8</v>
      </c>
      <c r="M202" s="1" t="s">
        <v>10</v>
      </c>
      <c r="N202" s="1">
        <v>14</v>
      </c>
      <c r="P202" s="1" t="s">
        <v>580</v>
      </c>
      <c r="Q202" s="1" t="s">
        <v>581</v>
      </c>
      <c r="R202" s="1" t="s">
        <v>324</v>
      </c>
      <c r="U202" t="str">
        <f>+UPPER(Tabla1[[#This Row],[MATERIALES_REQUERIDOS]])</f>
        <v>LAMINA A36 1/4", ELECTRODO 7818 1/8"</v>
      </c>
      <c r="V202" t="str">
        <f>+UPPER(Tabla1[[#This Row],[EQUIPOS_USADOS]])</f>
        <v xml:space="preserve">OXICORTE, MQUINA DE SOLDAR </v>
      </c>
    </row>
    <row r="203" spans="1:22" ht="28.8" x14ac:dyDescent="0.3">
      <c r="A203" s="1" t="s">
        <v>582</v>
      </c>
      <c r="B203" s="1" t="s">
        <v>35</v>
      </c>
      <c r="C203" s="1" t="s">
        <v>30</v>
      </c>
      <c r="D203" s="1" t="s">
        <v>583</v>
      </c>
      <c r="E203" s="1" t="s">
        <v>25</v>
      </c>
      <c r="F203" s="1" t="s">
        <v>584</v>
      </c>
      <c r="G203" s="1">
        <v>1</v>
      </c>
      <c r="H203" s="1">
        <v>8</v>
      </c>
      <c r="I203" s="2">
        <v>46146</v>
      </c>
      <c r="J203" s="2">
        <v>46147</v>
      </c>
      <c r="K203" s="1" t="s">
        <v>22</v>
      </c>
      <c r="L203" s="6">
        <v>1</v>
      </c>
      <c r="M203" s="1" t="s">
        <v>10</v>
      </c>
      <c r="N203" s="1">
        <v>7</v>
      </c>
      <c r="P203" s="1" t="s">
        <v>580</v>
      </c>
      <c r="Q203" s="1" t="s">
        <v>581</v>
      </c>
      <c r="R203" s="1" t="s">
        <v>324</v>
      </c>
      <c r="U203" t="str">
        <f>+UPPER(Tabla1[[#This Row],[MATERIALES_REQUERIDOS]])</f>
        <v>LAMINA A36 1/4", ELECTRODO 7818 1/8"</v>
      </c>
      <c r="V203" t="str">
        <f>+UPPER(Tabla1[[#This Row],[EQUIPOS_USADOS]])</f>
        <v xml:space="preserve">OXICORTE, MQUINA DE SOLDAR </v>
      </c>
    </row>
    <row r="204" spans="1:22" ht="28.8" x14ac:dyDescent="0.3">
      <c r="A204" s="1" t="s">
        <v>585</v>
      </c>
      <c r="B204" s="1" t="s">
        <v>35</v>
      </c>
      <c r="C204" s="1" t="s">
        <v>30</v>
      </c>
      <c r="D204" s="1" t="s">
        <v>586</v>
      </c>
      <c r="E204" s="1" t="s">
        <v>25</v>
      </c>
      <c r="F204" s="1" t="s">
        <v>587</v>
      </c>
      <c r="G204" s="1">
        <v>1</v>
      </c>
      <c r="H204" s="1">
        <v>7</v>
      </c>
      <c r="I204" s="2">
        <v>46147</v>
      </c>
      <c r="J204" s="2">
        <v>46147</v>
      </c>
      <c r="K204" s="1" t="s">
        <v>22</v>
      </c>
      <c r="L204" s="6">
        <v>1</v>
      </c>
      <c r="M204" s="1" t="s">
        <v>10</v>
      </c>
      <c r="N204" s="1">
        <v>7</v>
      </c>
      <c r="P204" s="1" t="s">
        <v>580</v>
      </c>
      <c r="Q204" s="1" t="s">
        <v>581</v>
      </c>
      <c r="R204" s="1" t="s">
        <v>324</v>
      </c>
      <c r="U204" t="str">
        <f>+UPPER(Tabla1[[#This Row],[MATERIALES_REQUERIDOS]])</f>
        <v>LAMINA A36 1/4", ELECTRODO 7818 1/8"</v>
      </c>
      <c r="V204" t="str">
        <f>+UPPER(Tabla1[[#This Row],[EQUIPOS_USADOS]])</f>
        <v xml:space="preserve">OXICORTE, MQUINA DE SOLDAR </v>
      </c>
    </row>
    <row r="205" spans="1:22" ht="28.8" x14ac:dyDescent="0.3">
      <c r="A205" s="1" t="s">
        <v>588</v>
      </c>
      <c r="B205" s="1" t="s">
        <v>35</v>
      </c>
      <c r="C205" s="1" t="s">
        <v>30</v>
      </c>
      <c r="D205" s="1" t="s">
        <v>589</v>
      </c>
      <c r="E205" s="1" t="s">
        <v>25</v>
      </c>
      <c r="F205" s="1" t="s">
        <v>590</v>
      </c>
      <c r="G205" s="1">
        <v>1</v>
      </c>
      <c r="H205" s="1">
        <v>8</v>
      </c>
      <c r="I205" s="2">
        <v>46147</v>
      </c>
      <c r="J205" s="2">
        <v>46147</v>
      </c>
      <c r="K205" s="1" t="s">
        <v>22</v>
      </c>
      <c r="L205" s="6">
        <v>1</v>
      </c>
      <c r="M205" s="1" t="s">
        <v>10</v>
      </c>
      <c r="N205" s="1">
        <v>8</v>
      </c>
      <c r="P205" s="1" t="s">
        <v>580</v>
      </c>
      <c r="Q205" s="1" t="s">
        <v>581</v>
      </c>
      <c r="R205" s="1" t="s">
        <v>324</v>
      </c>
      <c r="U205" t="str">
        <f>+UPPER(Tabla1[[#This Row],[MATERIALES_REQUERIDOS]])</f>
        <v>LAMINA A36 1/4", ELECTRODO 7818 1/8"</v>
      </c>
      <c r="V205" t="str">
        <f>+UPPER(Tabla1[[#This Row],[EQUIPOS_USADOS]])</f>
        <v xml:space="preserve">OXICORTE, MQUINA DE SOLDAR </v>
      </c>
    </row>
    <row r="206" spans="1:22" ht="57.6" x14ac:dyDescent="0.3">
      <c r="A206" s="1" t="s">
        <v>591</v>
      </c>
      <c r="B206" s="1" t="s">
        <v>31</v>
      </c>
      <c r="C206" s="1" t="s">
        <v>7</v>
      </c>
      <c r="D206" s="1" t="s">
        <v>592</v>
      </c>
      <c r="E206" s="1" t="s">
        <v>25</v>
      </c>
      <c r="F206" s="1" t="s">
        <v>593</v>
      </c>
      <c r="G206" s="1">
        <v>1</v>
      </c>
      <c r="H206" s="1">
        <v>4</v>
      </c>
      <c r="I206" s="2">
        <v>46147</v>
      </c>
      <c r="J206" s="2">
        <v>46147</v>
      </c>
      <c r="K206" s="1" t="s">
        <v>22</v>
      </c>
      <c r="L206" s="6">
        <v>1</v>
      </c>
      <c r="M206" s="1" t="s">
        <v>10</v>
      </c>
      <c r="N206" s="1">
        <v>4</v>
      </c>
      <c r="P206" s="1" t="s">
        <v>216</v>
      </c>
      <c r="Q206" s="1" t="s">
        <v>217</v>
      </c>
      <c r="U206" t="str">
        <f>+UPPER(Tabla1[[#This Row],[MATERIALES_REQUERIDOS]])</f>
        <v>ELECTRODOS 6010 18", ELECTRODOS 718 1/8", DISCO DE CORTE 7" Y 4", DISCO DE ESMERIL 7" Y 4", CEPILLO DE ALAMBRE</v>
      </c>
      <c r="V206" t="str">
        <f>+UPPER(Tabla1[[#This Row],[EQUIPOS_USADOS]])</f>
        <v>MAQ SOLDAR, OXICORTE, ESMERIL 7" Y 4"</v>
      </c>
    </row>
    <row r="207" spans="1:22" ht="129.6" x14ac:dyDescent="0.3">
      <c r="A207" s="1" t="s">
        <v>594</v>
      </c>
      <c r="B207" s="1" t="s">
        <v>6</v>
      </c>
      <c r="C207" s="1" t="s">
        <v>12</v>
      </c>
      <c r="D207" s="1" t="s">
        <v>595</v>
      </c>
      <c r="E207" s="1" t="s">
        <v>25</v>
      </c>
      <c r="F207" s="1" t="s">
        <v>596</v>
      </c>
      <c r="G207" s="1">
        <v>1</v>
      </c>
      <c r="H207" s="1">
        <v>4</v>
      </c>
      <c r="I207" s="2">
        <v>46147</v>
      </c>
      <c r="J207" s="2">
        <v>46147</v>
      </c>
      <c r="K207" s="1" t="s">
        <v>13</v>
      </c>
      <c r="L207" s="6">
        <v>1</v>
      </c>
      <c r="M207" s="1" t="s">
        <v>10</v>
      </c>
      <c r="N207" s="1">
        <v>4</v>
      </c>
      <c r="O207" s="1" t="s">
        <v>19</v>
      </c>
      <c r="P207" s="1" t="s">
        <v>597</v>
      </c>
      <c r="Q207" s="1" t="s">
        <v>598</v>
      </c>
      <c r="R207" s="1" t="s">
        <v>599</v>
      </c>
      <c r="U207" t="str">
        <f>+UPPER(Tabla1[[#This Row],[MATERIALES_REQUERIDOS]])</f>
        <v>TRAPOS, LAPICERO, MARCADOR, TIRRO, CINTA DE EMBALAR, TIRRO, JABON, DESENGRASANTE, FORMULA MECANICA, LIMPIADOR DE CONTACTO, FORMULA SQ70-7, THINNER, TEFLON</v>
      </c>
      <c r="V207" t="str">
        <f>+UPPER(Tabla1[[#This Row],[EQUIPOS_USADOS]])</f>
        <v>TESTER, TALADRO, PULIDORA, ESMERIL, JUEGO DE LLAVES ALLEN, ALICATE, DESTORNILLADORES DE PALA, DESTORNILLADORES DE ESTRIA, JUEGO DE LLAVES FIJAS</v>
      </c>
    </row>
  </sheetData>
  <phoneticPr fontId="2" type="noConversion"/>
  <printOptions horizontalCentered="1"/>
  <pageMargins left="0.15748031496062992" right="0.15748031496062992" top="0.19685039370078741" bottom="0.39370078740157483" header="0.11811023622047245" footer="0.11811023622047245"/>
  <pageSetup paperSize="5" scale="44" fitToHeight="0" orientation="landscape" r:id="rId1"/>
  <tableParts count="1">
    <tablePart r:id="rId2"/>
  </tableParts>
  <extLst>
    <ext xmlns:x14="http://schemas.microsoft.com/office/spreadsheetml/2009/9/main" uri="{CCE6A557-97BC-4b89-ADB6-D9C93CAAB3DF}">
      <x14:dataValidations xmlns:xm="http://schemas.microsoft.com/office/excel/2006/main" count="11">
        <x14:dataValidation type="list" allowBlank="1" showErrorMessage="1" error="Por favor seleccione un valor de la lista desplegable." xr:uid="{445BA106-E5E7-49C8-8229-979231C15B09}">
          <x14:formula1>
            <xm:f>#REF!</xm:f>
          </x14:formula1>
          <xm:sqref>M2:M3</xm:sqref>
        </x14:dataValidation>
        <x14:dataValidation type="list" allowBlank="1" showErrorMessage="1" error="Por favor seleccione un valor de la lista desplegable." xr:uid="{89895557-024D-4ED2-B8E3-6ECE00F16563}">
          <x14:formula1>
            <xm:f>#REF!</xm:f>
          </x14:formula1>
          <xm:sqref>C2:C7</xm:sqref>
        </x14:dataValidation>
        <x14:dataValidation type="list" allowBlank="1" showErrorMessage="1" error="Por favor seleccione un valor de la lista desplegable." xr:uid="{D66F0CE7-B69F-432C-9123-A7F6A4039913}">
          <x14:formula1>
            <xm:f>#REF!</xm:f>
          </x14:formula1>
          <xm:sqref>E2:E7</xm:sqref>
        </x14:dataValidation>
        <x14:dataValidation type="list" allowBlank="1" showErrorMessage="1" error="Por favor seleccione un valor de la lista desplegable." xr:uid="{F6D6A13A-E738-4098-982B-61AEC6499421}">
          <x14:formula1>
            <xm:f>#REF!</xm:f>
          </x14:formula1>
          <xm:sqref>O2:O3</xm:sqref>
        </x14:dataValidation>
        <x14:dataValidation type="list" allowBlank="1" showErrorMessage="1" error="Por favor seleccione un valor de la lista desplegable." xr:uid="{2BBDFC1C-6791-4A0E-9D91-22DAD3FF5ACF}">
          <x14:formula1>
            <xm:f>#REF!</xm:f>
          </x14:formula1>
          <xm:sqref>B2:B7</xm:sqref>
        </x14:dataValidation>
        <x14:dataValidation type="list" allowBlank="1" xr:uid="{00000000-0002-0000-0100-000001000000}">
          <x14:formula1>
            <xm:f>#REF!</xm:f>
          </x14:formula1>
          <xm:sqref>F17 C14:D14 C8:C13 C15:C1009</xm:sqref>
        </x14:dataValidation>
        <x14:dataValidation type="list" allowBlank="1" xr:uid="{00000000-0002-0000-0100-000000000000}">
          <x14:formula1>
            <xm:f>#REF!</xm:f>
          </x14:formula1>
          <xm:sqref>B8:B16 B35:B1009</xm:sqref>
        </x14:dataValidation>
        <x14:dataValidation type="list" allowBlank="1" xr:uid="{00000000-0002-0000-0100-000002000000}">
          <x14:formula1>
            <xm:f>#REF!</xm:f>
          </x14:formula1>
          <xm:sqref>E8:E1009</xm:sqref>
        </x14:dataValidation>
        <x14:dataValidation type="list" allowBlank="1" xr:uid="{00000000-0002-0000-0100-000003000000}">
          <x14:formula1>
            <xm:f>#REF!</xm:f>
          </x14:formula1>
          <xm:sqref>K2:K1009</xm:sqref>
        </x14:dataValidation>
        <x14:dataValidation type="list" allowBlank="1" xr:uid="{00000000-0002-0000-0100-000004000000}">
          <x14:formula1>
            <xm:f>#REF!</xm:f>
          </x14:formula1>
          <xm:sqref>M4:M1009</xm:sqref>
        </x14:dataValidation>
        <x14:dataValidation type="list" allowBlank="1" xr:uid="{00000000-0002-0000-0100-000005000000}">
          <x14:formula1>
            <xm:f>#REF!</xm:f>
          </x14:formula1>
          <xm:sqref>O4:O1009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Seguimiento MOD</vt:lpstr>
      <vt:lpstr>'Seguimiento MOD'!Área_de_impresión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openpyxl;FC</dc:creator>
  <cp:keywords/>
  <dc:description/>
  <cp:lastModifiedBy>Central Majaguas</cp:lastModifiedBy>
  <cp:revision/>
  <dcterms:created xsi:type="dcterms:W3CDTF">2026-04-25T23:18:25Z</dcterms:created>
  <dcterms:modified xsi:type="dcterms:W3CDTF">2026-05-06T22:53:01Z</dcterms:modified>
  <cp:category/>
  <cp:contentStatus/>
</cp:coreProperties>
</file>